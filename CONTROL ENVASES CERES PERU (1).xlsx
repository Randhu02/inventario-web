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PROYECTO TISUR\inventario_ceres\"/>
    </mc:Choice>
  </mc:AlternateContent>
  <xr:revisionPtr revIDLastSave="0" documentId="13_ncr:1_{C52E3081-D406-495B-A1AD-C5F8D1ACF36E}" xr6:coauthVersionLast="47" xr6:coauthVersionMax="47" xr10:uidLastSave="{00000000-0000-0000-0000-000000000000}"/>
  <bookViews>
    <workbookView xWindow="-108" yWindow="-108" windowWidth="23256" windowHeight="12456" tabRatio="865" activeTab="1" xr2:uid="{00000000-000D-0000-FFFF-FFFF00000000}"/>
  </bookViews>
  <sheets>
    <sheet name="RESUMEN" sheetId="2" r:id="rId1"/>
    <sheet name="UREA FERTI (50Kg)" sheetId="1" r:id="rId2"/>
    <sheet name="FOSFATO DIAMONICO (50Kg)" sheetId="3" r:id="rId3"/>
    <sheet name="SULFATO DE AMONIO (50Kg) " sheetId="4" r:id="rId4"/>
    <sheet name="ADITIVO MARRON (20Kg)" sheetId="5" r:id="rId5"/>
    <sheet name="NIT. DE AMONIO (50Kg)" sheetId="6" r:id="rId6"/>
    <sheet name="NIT. DE AMONIO (50Kg) POLIPROPI" sheetId="7" r:id="rId7"/>
    <sheet name="CLORURO DE POTASIO(50Kg)" sheetId="8" r:id="rId8"/>
    <sheet name="NITRO S PREMIUM(50Kg)" sheetId="9" r:id="rId9"/>
    <sheet name="SUPER BLUE (50Kg)" sheetId="10" r:id="rId10"/>
    <sheet name="NPK 20-20-20" sheetId="12" r:id="rId11"/>
    <sheet name="PAPA SIERRA (50Kg)" sheetId="11" r:id="rId1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" i="2" l="1"/>
  <c r="C7" i="2"/>
  <c r="C4" i="2"/>
  <c r="C3" i="2"/>
  <c r="G5" i="6"/>
  <c r="G6" i="6"/>
  <c r="G7" i="6"/>
  <c r="G8" i="6"/>
  <c r="G9" i="6"/>
  <c r="G10" i="6"/>
  <c r="G11" i="6"/>
  <c r="G12" i="6"/>
  <c r="G13" i="6"/>
  <c r="G14" i="6"/>
  <c r="G14" i="1"/>
  <c r="G5" i="8"/>
  <c r="G4" i="1"/>
  <c r="G5" i="1"/>
  <c r="G6" i="1"/>
  <c r="G7" i="1"/>
  <c r="G8" i="1"/>
  <c r="G9" i="1"/>
  <c r="G10" i="1"/>
  <c r="G11" i="1"/>
  <c r="G12" i="1"/>
  <c r="G13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4" i="3"/>
  <c r="C5" i="2"/>
  <c r="G21" i="4"/>
  <c r="G22" i="4"/>
  <c r="G23" i="4"/>
  <c r="G24" i="4"/>
  <c r="G25" i="4"/>
  <c r="G26" i="4"/>
  <c r="G27" i="4"/>
  <c r="G28" i="4"/>
  <c r="G29" i="4"/>
  <c r="C12" i="2"/>
  <c r="G5" i="12"/>
  <c r="G4" i="12"/>
  <c r="G3" i="6"/>
  <c r="G4" i="6"/>
  <c r="C11" i="2"/>
  <c r="C10" i="2"/>
  <c r="G6" i="9"/>
  <c r="G7" i="9"/>
  <c r="G4" i="7"/>
  <c r="G5" i="7"/>
  <c r="G6" i="7"/>
  <c r="G7" i="7"/>
  <c r="G8" i="7"/>
  <c r="G9" i="7"/>
  <c r="C13" i="2"/>
  <c r="G4" i="11"/>
  <c r="G4" i="10"/>
  <c r="G5" i="10"/>
  <c r="G4" i="9"/>
  <c r="G5" i="9"/>
  <c r="C6" i="2"/>
  <c r="G10" i="7"/>
  <c r="G4" i="8"/>
  <c r="G3" i="5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3" i="3"/>
  <c r="G2" i="1"/>
  <c r="G3" i="1"/>
</calcChain>
</file>

<file path=xl/sharedStrings.xml><?xml version="1.0" encoding="utf-8"?>
<sst xmlns="http://schemas.openxmlformats.org/spreadsheetml/2006/main" count="392" uniqueCount="80">
  <si>
    <t>Descripción del artículo</t>
  </si>
  <si>
    <t>Item</t>
  </si>
  <si>
    <t>FECHA</t>
  </si>
  <si>
    <t>INGRESO</t>
  </si>
  <si>
    <t>SALIDA</t>
  </si>
  <si>
    <t>STOCK</t>
  </si>
  <si>
    <t>OPERACIÓN</t>
  </si>
  <si>
    <t>RECEPCION - GR: EG07- 00012605</t>
  </si>
  <si>
    <t>FOSFATO DIAMONICO * 50 KG.</t>
  </si>
  <si>
    <t>SULFATO DE AMONIO * 50 KG.</t>
  </si>
  <si>
    <t>UREA * 50 KG.</t>
  </si>
  <si>
    <t>TOTAL ENSAQUE</t>
  </si>
  <si>
    <t>RECEPCION - GR: 2743</t>
  </si>
  <si>
    <t>RECEPCION - GR: EG07- 00003103</t>
  </si>
  <si>
    <t>*</t>
  </si>
  <si>
    <t>TOTAL MANIPULEO / DESPACHO</t>
  </si>
  <si>
    <t>ENSAQUE - SACOS EXCEDENTES</t>
  </si>
  <si>
    <t>FALTANTE RECEPCION - 1° LOTE</t>
  </si>
  <si>
    <t>ENSAQUE PEDIDO 250 TN.</t>
  </si>
  <si>
    <t>MANIPULEO - DESPACHO</t>
  </si>
  <si>
    <t>SULFATO DE AMONIO FERTI * 50 KG.</t>
  </si>
  <si>
    <t>FOSFATO DIAMONICO FERTI * 50 KG.</t>
  </si>
  <si>
    <t>UREA FERTI * 50 KG.</t>
  </si>
  <si>
    <t>RECEPCION - GR: EG07- 00012700</t>
  </si>
  <si>
    <t>ENSAQUE PEDIDO 100 TN.</t>
  </si>
  <si>
    <t>RECEPCION - GR: EG07- 00013488</t>
  </si>
  <si>
    <t>ENSAQUE PEDIDO 200 TN.</t>
  </si>
  <si>
    <t>ADITIVO MARRON - BOLSAS * 20 KG.</t>
  </si>
  <si>
    <t>NITRATO DE AMONIO * 50 KG.</t>
  </si>
  <si>
    <t>RECEPCION - GR: EG07- 00014172</t>
  </si>
  <si>
    <t xml:space="preserve">STOCK DE ENVASES VACIOS CERES PERÚ </t>
  </si>
  <si>
    <t>ENSAQUE PEDIDO TOTAL.</t>
  </si>
  <si>
    <t>RECEPCION - GR: EG07- 00014959</t>
  </si>
  <si>
    <t>ENSAQUE PEDIDO 20 TN.</t>
  </si>
  <si>
    <t>RECEPCION - GR: EG07- 00016079</t>
  </si>
  <si>
    <t>ENSAQUE PEDIDO 150 TN. -  UREA PERLADA</t>
  </si>
  <si>
    <t>ENSAQUE PEDIDO 100 TN. - UREA GRANULADA</t>
  </si>
  <si>
    <t>ENSAQUE PEDIDO TOTAL - UREA GRANULADA</t>
  </si>
  <si>
    <t>ENSAQUE PEDIDO 150 TN.</t>
  </si>
  <si>
    <t>ENSAQUE PEDIDO TOTAL</t>
  </si>
  <si>
    <t>NITRATO DE AMONIO * 50 KG. - POLIPROPILENO</t>
  </si>
  <si>
    <t>RECEPCION - GR: EG07- 00017334</t>
  </si>
  <si>
    <t>RECEPCION - GR: T001-00004371 - 4359</t>
  </si>
  <si>
    <t>RECEPCION - GR: EG07- 00017334 / T001-00004372</t>
  </si>
  <si>
    <t>ENSAQUE PEDIDO 300 TN.</t>
  </si>
  <si>
    <t>ITEM</t>
  </si>
  <si>
    <t>DESCRIPCIÓN DEL ARTICULO</t>
  </si>
  <si>
    <t>ENSAQUE PEDIDO 200 TN. -  UREA PERLADA</t>
  </si>
  <si>
    <t>RECEPCION - GR: EG07- 00018086</t>
  </si>
  <si>
    <t>CLORURO DE POTASIO *50 KG.</t>
  </si>
  <si>
    <t>ENSAQUE 200 TM - UREA GRANULADA</t>
  </si>
  <si>
    <t>ENSAQUE 100 TM - UREA GRANULADA</t>
  </si>
  <si>
    <t>ENSAQUE 100 TM - UREA PERLADA</t>
  </si>
  <si>
    <t>ENSAQUE 42 TM - UREA PERLADA</t>
  </si>
  <si>
    <t>RECEPCION - GR: EG07- 00018680</t>
  </si>
  <si>
    <t>RECEPCION - GR: EG07- 00019037</t>
  </si>
  <si>
    <t>ENSAQUE 46.5 TM - UREA PERLADA</t>
  </si>
  <si>
    <t>ENSAQUE 150 TM - UREA PERLADA</t>
  </si>
  <si>
    <t>ENSAQUE 50 TM - UREA PERLADA</t>
  </si>
  <si>
    <t>NPK 20-20-20</t>
  </si>
  <si>
    <t>Nitro-S Premium</t>
  </si>
  <si>
    <t>Papa Sierra</t>
  </si>
  <si>
    <t>Super Blue x50KG</t>
  </si>
  <si>
    <t>NITRO S PREMIUM AMARILLO * 50 KG</t>
  </si>
  <si>
    <t>ENSAQUE</t>
  </si>
  <si>
    <t>ROTO EN RUMA</t>
  </si>
  <si>
    <t>15/12/2025-03/01</t>
  </si>
  <si>
    <t>ENSAQUE 200 TM - UREA PERLADA</t>
  </si>
  <si>
    <t>ENSAQUE PEDIDO 90 TN.</t>
  </si>
  <si>
    <t>RECEPCION - GR: EG07- 00018460</t>
  </si>
  <si>
    <t>NITRATO DE AMONIO * 50 KG. - POLIETILENO</t>
  </si>
  <si>
    <t>RECEPCION - GR: EG07- 00018399</t>
  </si>
  <si>
    <t>RECEPCION - GR: EG07- 00019333</t>
  </si>
  <si>
    <t>RECEPCION - GR: EG07- 00018333</t>
  </si>
  <si>
    <t>NPK 20-20-20 * 50 KG</t>
  </si>
  <si>
    <t>SUPER BLUE * 50 KG</t>
  </si>
  <si>
    <t>RECEPCION - GR: T001-00004530</t>
  </si>
  <si>
    <t>ENSAQUE 125.4 TM - UREA GRANULADA</t>
  </si>
  <si>
    <t>22/12-03/01</t>
  </si>
  <si>
    <t>STOCK ACTUALIZADO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</si>
</sst>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dd/mm/yyyy;@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MS Sans Serif"/>
      <family val="2"/>
    </font>
    <font>
      <sz val="10"/>
      <name val="Arial"/>
      <family val="2"/>
    </font>
    <font>
      <sz val="11"/>
      <color theme="1"/>
      <name val="Calibri"/>
      <family val="3"/>
      <charset val="128"/>
      <scheme val="minor"/>
    </font>
    <font>
      <sz val="8"/>
      <name val="Calibri"/>
      <family val="2"/>
      <scheme val="minor"/>
    </font>
    <font>
      <sz val="9"/>
      <color theme="4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6" fillId="0" borderId="0">
      <alignment vertical="center"/>
    </xf>
  </cellStyleXfs>
  <cellXfs count="6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14" fontId="3" fillId="2" borderId="0" xfId="0" applyNumberFormat="1" applyFont="1" applyFill="1" applyAlignment="1">
      <alignment horizontal="center" vertical="center"/>
    </xf>
    <xf numFmtId="3" fontId="3" fillId="2" borderId="0" xfId="0" applyNumberFormat="1" applyFont="1" applyFill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16" fontId="0" fillId="0" borderId="0" xfId="0" applyNumberFormat="1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3" fontId="3" fillId="5" borderId="1" xfId="0" applyNumberFormat="1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left" vertical="center"/>
    </xf>
    <xf numFmtId="3" fontId="3" fillId="0" borderId="1" xfId="0" applyNumberFormat="1" applyFont="1" applyFill="1" applyBorder="1" applyAlignment="1">
      <alignment horizontal="center" vertical="center"/>
    </xf>
    <xf numFmtId="0" fontId="0" fillId="0" borderId="0" xfId="0" applyFill="1"/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3" fontId="0" fillId="0" borderId="0" xfId="0" applyNumberFormat="1" applyFill="1"/>
    <xf numFmtId="0" fontId="3" fillId="0" borderId="7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/>
    </xf>
    <xf numFmtId="0" fontId="11" fillId="0" borderId="0" xfId="0" applyFont="1" applyFill="1"/>
    <xf numFmtId="0" fontId="11" fillId="0" borderId="0" xfId="0" applyFont="1"/>
    <xf numFmtId="3" fontId="11" fillId="0" borderId="0" xfId="0" applyNumberFormat="1" applyFont="1"/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Fill="1" applyBorder="1"/>
    <xf numFmtId="3" fontId="2" fillId="0" borderId="1" xfId="0" applyNumberFormat="1" applyFont="1" applyFill="1" applyBorder="1" applyAlignment="1">
      <alignment horizontal="center" vertical="center"/>
    </xf>
    <xf numFmtId="3" fontId="2" fillId="6" borderId="1" xfId="0" applyNumberFormat="1" applyFont="1" applyFill="1" applyBorder="1" applyAlignment="1">
      <alignment horizontal="center" vertical="center"/>
    </xf>
    <xf numFmtId="3" fontId="9" fillId="6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14" fontId="3" fillId="7" borderId="1" xfId="0" applyNumberFormat="1" applyFont="1" applyFill="1" applyBorder="1" applyAlignment="1">
      <alignment horizontal="center" vertical="center"/>
    </xf>
    <xf numFmtId="165" fontId="8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3" fontId="3" fillId="7" borderId="1" xfId="0" applyNumberFormat="1" applyFont="1" applyFill="1" applyBorder="1" applyAlignment="1">
      <alignment horizontal="center" vertical="center"/>
    </xf>
    <xf numFmtId="14" fontId="3" fillId="7" borderId="5" xfId="0" applyNumberFormat="1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3" fontId="3" fillId="7" borderId="5" xfId="0" applyNumberFormat="1" applyFont="1" applyFill="1" applyBorder="1" applyAlignment="1">
      <alignment horizontal="center" vertical="center"/>
    </xf>
    <xf numFmtId="14" fontId="3" fillId="7" borderId="6" xfId="0" applyNumberFormat="1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3" fontId="3" fillId="7" borderId="6" xfId="0" applyNumberFormat="1" applyFont="1" applyFill="1" applyBorder="1" applyAlignment="1">
      <alignment horizontal="center" vertical="center"/>
    </xf>
    <xf numFmtId="14" fontId="3" fillId="7" borderId="7" xfId="0" applyNumberFormat="1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3" fontId="3" fillId="7" borderId="7" xfId="0" applyNumberFormat="1" applyFont="1" applyFill="1" applyBorder="1" applyAlignment="1">
      <alignment horizontal="center" vertical="center"/>
    </xf>
    <xf numFmtId="14" fontId="10" fillId="7" borderId="1" xfId="0" applyNumberFormat="1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3" fontId="10" fillId="7" borderId="1" xfId="0" applyNumberFormat="1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14" fontId="10" fillId="0" borderId="1" xfId="0" applyNumberFormat="1" applyFont="1" applyFill="1" applyBorder="1" applyAlignment="1">
      <alignment horizontal="center" vertical="center"/>
    </xf>
    <xf numFmtId="3" fontId="10" fillId="0" borderId="1" xfId="0" applyNumberFormat="1" applyFont="1" applyFill="1" applyBorder="1" applyAlignment="1">
      <alignment horizontal="center" vertical="center"/>
    </xf>
  </cellXfs>
  <cellStyles count="10">
    <cellStyle name="Millares 2" xfId="1" xr:uid="{00000000-0005-0000-0000-000000000000}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6" xr:uid="{00000000-0005-0000-0000-000006000000}"/>
    <cellStyle name="Normal 6 2" xfId="7" xr:uid="{00000000-0005-0000-0000-000007000000}"/>
    <cellStyle name="Normal 7" xfId="8" xr:uid="{00000000-0005-0000-0000-000008000000}"/>
    <cellStyle name="標準 29" xfId="9" xr:uid="{00000000-0005-0000-0000-000009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574F9-47A1-4F80-A8EB-000BAEA929E2}">
  <dimension ref="A1:D17"/>
  <sheetViews>
    <sheetView showGridLines="0" zoomScale="80" zoomScaleNormal="80" workbookViewId="0">
      <selection activeCell="C26" sqref="C26"/>
    </sheetView>
  </sheetViews>
  <sheetFormatPr baseColWidth="10" defaultColWidth="10.6640625" defaultRowHeight="14.4"/>
  <cols>
    <col min="2" max="2" width="39.5546875" customWidth="1"/>
    <col min="3" max="3" width="12.6640625" customWidth="1"/>
  </cols>
  <sheetData>
    <row r="1" spans="1:4">
      <c r="A1" s="63" t="s">
        <v>30</v>
      </c>
      <c r="B1" s="64"/>
      <c r="C1" s="65"/>
    </row>
    <row r="2" spans="1:4" ht="31.5" customHeight="1">
      <c r="A2" s="45" t="s">
        <v>45</v>
      </c>
      <c r="B2" s="46" t="s">
        <v>46</v>
      </c>
      <c r="C2" s="46" t="s">
        <v>79</v>
      </c>
      <c r="D2" s="14"/>
    </row>
    <row r="3" spans="1:4">
      <c r="A3" s="1">
        <v>1</v>
      </c>
      <c r="B3" s="30" t="s">
        <v>10</v>
      </c>
      <c r="C3" s="43">
        <f>'UREA FERTI (50Kg)'!G60</f>
        <v>6487</v>
      </c>
      <c r="D3" s="14"/>
    </row>
    <row r="4" spans="1:4">
      <c r="A4" s="16">
        <v>2</v>
      </c>
      <c r="B4" s="30" t="s">
        <v>8</v>
      </c>
      <c r="C4" s="43">
        <f>'FOSFATO DIAMONICO (50Kg)'!G33</f>
        <v>4279</v>
      </c>
      <c r="D4" s="14"/>
    </row>
    <row r="5" spans="1:4">
      <c r="A5" s="16">
        <v>3</v>
      </c>
      <c r="B5" s="30" t="s">
        <v>9</v>
      </c>
      <c r="C5" s="43">
        <f>'SULFATO DE AMONIO (50Kg) '!G29</f>
        <v>6465</v>
      </c>
      <c r="D5" s="14"/>
    </row>
    <row r="6" spans="1:4">
      <c r="A6" s="16">
        <v>4</v>
      </c>
      <c r="B6" s="30" t="s">
        <v>27</v>
      </c>
      <c r="C6" s="43">
        <f>'ADITIVO MARRON (20Kg)'!G3</f>
        <v>3</v>
      </c>
      <c r="D6" s="14"/>
    </row>
    <row r="7" spans="1:4">
      <c r="A7" s="16">
        <v>5</v>
      </c>
      <c r="B7" s="30" t="s">
        <v>70</v>
      </c>
      <c r="C7" s="43">
        <f>'NIT. DE AMONIO (50Kg)'!G14</f>
        <v>4907</v>
      </c>
      <c r="D7" s="14"/>
    </row>
    <row r="8" spans="1:4">
      <c r="A8" s="16">
        <v>6</v>
      </c>
      <c r="B8" s="30" t="s">
        <v>40</v>
      </c>
      <c r="C8" s="43">
        <f>'NIT. DE AMONIO (50Kg) POLIPROPI'!G10</f>
        <v>9</v>
      </c>
      <c r="D8" s="14"/>
    </row>
    <row r="9" spans="1:4">
      <c r="A9" s="16">
        <v>7</v>
      </c>
      <c r="B9" s="30" t="s">
        <v>49</v>
      </c>
      <c r="C9" s="43">
        <v>1968</v>
      </c>
      <c r="D9" s="14"/>
    </row>
    <row r="10" spans="1:4">
      <c r="A10" s="16">
        <v>8</v>
      </c>
      <c r="B10" s="41" t="s">
        <v>60</v>
      </c>
      <c r="C10" s="44">
        <f>'NITRO S PREMIUM(50Kg)'!G7</f>
        <v>17</v>
      </c>
      <c r="D10" s="14"/>
    </row>
    <row r="11" spans="1:4">
      <c r="A11" s="16">
        <v>9</v>
      </c>
      <c r="B11" s="41" t="s">
        <v>62</v>
      </c>
      <c r="C11" s="44">
        <f>'SUPER BLUE (50Kg)'!G5</f>
        <v>0</v>
      </c>
      <c r="D11" s="14"/>
    </row>
    <row r="12" spans="1:4">
      <c r="A12" s="16">
        <v>10</v>
      </c>
      <c r="B12" s="41" t="s">
        <v>59</v>
      </c>
      <c r="C12" s="44">
        <f>'NPK 20-20-20'!G5</f>
        <v>1900</v>
      </c>
      <c r="D12" s="14"/>
    </row>
    <row r="13" spans="1:4">
      <c r="A13" s="16">
        <v>11</v>
      </c>
      <c r="B13" s="41" t="s">
        <v>61</v>
      </c>
      <c r="C13" s="44">
        <f>'PAPA SIERRA (50Kg)'!G4</f>
        <v>1200</v>
      </c>
      <c r="D13" s="14"/>
    </row>
    <row r="14" spans="1:4">
      <c r="B14" s="28"/>
      <c r="C14" s="28"/>
      <c r="D14" s="14"/>
    </row>
    <row r="15" spans="1:4">
      <c r="D15" s="14"/>
    </row>
    <row r="16" spans="1:4">
      <c r="D16" s="14"/>
    </row>
    <row r="17" spans="4:4">
      <c r="D17" s="14"/>
    </row>
  </sheetData>
  <mergeCells count="1">
    <mergeCell ref="A1:C1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62"/>
  <sheetViews>
    <sheetView showGridLines="0" tabSelected="1" topLeftCell="C37" zoomScale="85" zoomScaleNormal="85" workbookViewId="0">
      <selection activeCell="D50" sqref="D50"/>
    </sheetView>
  </sheetViews>
  <sheetFormatPr baseColWidth="10" defaultColWidth="10.6640625" defaultRowHeight="14.4"/>
  <cols>
    <col min="1" max="1" width="5.109375" bestFit="1" customWidth="1"/>
    <col min="2" max="2" width="39.6640625" customWidth="1"/>
    <col min="3" max="3" width="17.6640625" customWidth="1"/>
    <col min="4" max="4" width="45.33203125" customWidth="1"/>
  </cols>
  <sheetData>
    <row r="1" spans="1:9">
      <c r="A1" s="40" t="s">
        <v>1</v>
      </c>
      <c r="B1" s="39" t="s">
        <v>0</v>
      </c>
      <c r="C1" s="39" t="s">
        <v>2</v>
      </c>
      <c r="D1" s="39" t="s">
        <v>6</v>
      </c>
      <c r="E1" s="39" t="s">
        <v>3</v>
      </c>
      <c r="F1" s="39" t="s">
        <v>4</v>
      </c>
      <c r="G1" s="39" t="s">
        <v>5</v>
      </c>
    </row>
    <row r="2" spans="1:9">
      <c r="A2" s="1">
        <v>1</v>
      </c>
      <c r="B2" s="3" t="s">
        <v>22</v>
      </c>
      <c r="C2" s="47">
        <v>45279</v>
      </c>
      <c r="D2" s="49" t="s">
        <v>12</v>
      </c>
      <c r="E2" s="50">
        <v>10200</v>
      </c>
      <c r="F2" s="50">
        <v>0</v>
      </c>
      <c r="G2" s="50">
        <f>E2-F2</f>
        <v>10200</v>
      </c>
    </row>
    <row r="3" spans="1:9">
      <c r="A3" s="1">
        <v>1</v>
      </c>
      <c r="B3" s="3" t="s">
        <v>22</v>
      </c>
      <c r="C3" s="47">
        <v>45738</v>
      </c>
      <c r="D3" s="49" t="s">
        <v>13</v>
      </c>
      <c r="E3" s="50">
        <v>4000</v>
      </c>
      <c r="F3" s="50">
        <v>0</v>
      </c>
      <c r="G3" s="50">
        <f t="shared" ref="G3:G29" si="0">G2+E3-F3</f>
        <v>14200</v>
      </c>
    </row>
    <row r="4" spans="1:9">
      <c r="A4" s="1">
        <v>1</v>
      </c>
      <c r="B4" s="3" t="s">
        <v>22</v>
      </c>
      <c r="C4" s="47" t="s">
        <v>14</v>
      </c>
      <c r="D4" s="49" t="s">
        <v>11</v>
      </c>
      <c r="E4" s="50">
        <v>0</v>
      </c>
      <c r="F4" s="50">
        <v>12502</v>
      </c>
      <c r="G4" s="50">
        <f t="shared" si="0"/>
        <v>1698</v>
      </c>
    </row>
    <row r="5" spans="1:9">
      <c r="A5" s="1">
        <v>1</v>
      </c>
      <c r="B5" s="3" t="s">
        <v>22</v>
      </c>
      <c r="C5" s="47" t="s">
        <v>14</v>
      </c>
      <c r="D5" s="49" t="s">
        <v>15</v>
      </c>
      <c r="E5" s="50">
        <v>0</v>
      </c>
      <c r="F5" s="50">
        <v>345</v>
      </c>
      <c r="G5" s="50">
        <f t="shared" si="0"/>
        <v>1353</v>
      </c>
    </row>
    <row r="6" spans="1:9">
      <c r="A6" s="1">
        <v>1</v>
      </c>
      <c r="B6" s="3" t="s">
        <v>22</v>
      </c>
      <c r="C6" s="47" t="s">
        <v>14</v>
      </c>
      <c r="D6" s="49" t="s">
        <v>16</v>
      </c>
      <c r="E6" s="50">
        <v>0</v>
      </c>
      <c r="F6" s="50">
        <v>20</v>
      </c>
      <c r="G6" s="50">
        <f t="shared" si="0"/>
        <v>1333</v>
      </c>
    </row>
    <row r="7" spans="1:9" ht="15" thickBot="1">
      <c r="A7" s="12">
        <v>1</v>
      </c>
      <c r="B7" s="13" t="s">
        <v>22</v>
      </c>
      <c r="C7" s="51" t="s">
        <v>14</v>
      </c>
      <c r="D7" s="52" t="s">
        <v>17</v>
      </c>
      <c r="E7" s="53">
        <v>0</v>
      </c>
      <c r="F7" s="53">
        <v>20</v>
      </c>
      <c r="G7" s="50">
        <f t="shared" si="0"/>
        <v>1313</v>
      </c>
    </row>
    <row r="8" spans="1:9" s="28" customFormat="1" ht="15" thickTop="1">
      <c r="A8" s="25">
        <v>1</v>
      </c>
      <c r="B8" s="26" t="s">
        <v>22</v>
      </c>
      <c r="C8" s="54">
        <v>45807</v>
      </c>
      <c r="D8" s="55" t="s">
        <v>23</v>
      </c>
      <c r="E8" s="56">
        <v>2000</v>
      </c>
      <c r="F8" s="56">
        <v>0</v>
      </c>
      <c r="G8" s="50">
        <f t="shared" si="0"/>
        <v>3313</v>
      </c>
    </row>
    <row r="9" spans="1:9" s="28" customFormat="1">
      <c r="A9" s="29">
        <v>1</v>
      </c>
      <c r="B9" s="30" t="s">
        <v>22</v>
      </c>
      <c r="C9" s="47">
        <v>45824</v>
      </c>
      <c r="D9" s="49" t="s">
        <v>36</v>
      </c>
      <c r="E9" s="50">
        <v>0</v>
      </c>
      <c r="F9" s="50">
        <v>1584</v>
      </c>
      <c r="G9" s="50">
        <f t="shared" si="0"/>
        <v>1729</v>
      </c>
    </row>
    <row r="10" spans="1:9" s="28" customFormat="1">
      <c r="A10" s="29">
        <v>1</v>
      </c>
      <c r="B10" s="30" t="s">
        <v>22</v>
      </c>
      <c r="C10" s="47">
        <v>45825</v>
      </c>
      <c r="D10" s="49" t="s">
        <v>36</v>
      </c>
      <c r="E10" s="50">
        <v>0</v>
      </c>
      <c r="F10" s="50">
        <v>418</v>
      </c>
      <c r="G10" s="50">
        <f t="shared" si="0"/>
        <v>1311</v>
      </c>
    </row>
    <row r="11" spans="1:9" s="28" customFormat="1">
      <c r="A11" s="29">
        <v>1</v>
      </c>
      <c r="B11" s="30" t="s">
        <v>22</v>
      </c>
      <c r="C11" s="47">
        <v>45834</v>
      </c>
      <c r="D11" s="49" t="s">
        <v>25</v>
      </c>
      <c r="E11" s="50">
        <v>2000</v>
      </c>
      <c r="F11" s="50">
        <v>0</v>
      </c>
      <c r="G11" s="50">
        <f t="shared" si="0"/>
        <v>3311</v>
      </c>
    </row>
    <row r="12" spans="1:9" s="28" customFormat="1">
      <c r="A12" s="29">
        <v>1</v>
      </c>
      <c r="B12" s="30" t="s">
        <v>22</v>
      </c>
      <c r="C12" s="47">
        <v>45850</v>
      </c>
      <c r="D12" s="49" t="s">
        <v>37</v>
      </c>
      <c r="E12" s="50">
        <v>0</v>
      </c>
      <c r="F12" s="50">
        <v>3187</v>
      </c>
      <c r="G12" s="50">
        <f t="shared" si="0"/>
        <v>124</v>
      </c>
    </row>
    <row r="13" spans="1:9" s="28" customFormat="1">
      <c r="A13" s="29">
        <v>1</v>
      </c>
      <c r="B13" s="30" t="s">
        <v>22</v>
      </c>
      <c r="C13" s="47">
        <v>45869</v>
      </c>
      <c r="D13" s="49" t="s">
        <v>29</v>
      </c>
      <c r="E13" s="50">
        <v>5000</v>
      </c>
      <c r="F13" s="50">
        <v>0</v>
      </c>
      <c r="G13" s="50">
        <f t="shared" si="0"/>
        <v>5124</v>
      </c>
    </row>
    <row r="14" spans="1:9" s="28" customFormat="1">
      <c r="A14" s="29">
        <v>1</v>
      </c>
      <c r="B14" s="30" t="s">
        <v>22</v>
      </c>
      <c r="C14" s="47">
        <v>45870</v>
      </c>
      <c r="D14" s="49" t="s">
        <v>37</v>
      </c>
      <c r="E14" s="50">
        <v>0</v>
      </c>
      <c r="F14" s="50">
        <v>423</v>
      </c>
      <c r="G14" s="50">
        <f>G13+E14-F14</f>
        <v>4701</v>
      </c>
    </row>
    <row r="15" spans="1:9" s="28" customFormat="1">
      <c r="A15" s="29">
        <v>1</v>
      </c>
      <c r="B15" s="30" t="s">
        <v>22</v>
      </c>
      <c r="C15" s="47">
        <v>45874</v>
      </c>
      <c r="D15" s="49" t="s">
        <v>19</v>
      </c>
      <c r="E15" s="50">
        <v>0</v>
      </c>
      <c r="F15" s="50">
        <v>3</v>
      </c>
      <c r="G15" s="50">
        <f t="shared" si="0"/>
        <v>4698</v>
      </c>
      <c r="I15" s="31"/>
    </row>
    <row r="16" spans="1:9" s="28" customFormat="1">
      <c r="A16" s="29">
        <v>1</v>
      </c>
      <c r="B16" s="30" t="s">
        <v>22</v>
      </c>
      <c r="C16" s="47">
        <v>45876</v>
      </c>
      <c r="D16" s="49" t="s">
        <v>35</v>
      </c>
      <c r="E16" s="50">
        <v>0</v>
      </c>
      <c r="F16" s="50">
        <v>3007</v>
      </c>
      <c r="G16" s="50">
        <f t="shared" si="0"/>
        <v>1691</v>
      </c>
    </row>
    <row r="17" spans="1:7" s="28" customFormat="1">
      <c r="A17" s="29">
        <v>1</v>
      </c>
      <c r="B17" s="30" t="s">
        <v>22</v>
      </c>
      <c r="C17" s="47">
        <v>45882</v>
      </c>
      <c r="D17" s="49" t="s">
        <v>19</v>
      </c>
      <c r="E17" s="50">
        <v>0</v>
      </c>
      <c r="F17" s="50">
        <v>2</v>
      </c>
      <c r="G17" s="50">
        <f t="shared" si="0"/>
        <v>1689</v>
      </c>
    </row>
    <row r="18" spans="1:7" s="28" customFormat="1">
      <c r="A18" s="29">
        <v>1</v>
      </c>
      <c r="B18" s="30" t="s">
        <v>22</v>
      </c>
      <c r="C18" s="47">
        <v>45894</v>
      </c>
      <c r="D18" s="49" t="s">
        <v>19</v>
      </c>
      <c r="E18" s="50">
        <v>0</v>
      </c>
      <c r="F18" s="50">
        <v>38</v>
      </c>
      <c r="G18" s="50">
        <f t="shared" si="0"/>
        <v>1651</v>
      </c>
    </row>
    <row r="19" spans="1:7" s="28" customFormat="1">
      <c r="A19" s="29">
        <v>1</v>
      </c>
      <c r="B19" s="30" t="s">
        <v>22</v>
      </c>
      <c r="C19" s="47">
        <v>45895</v>
      </c>
      <c r="D19" s="49" t="s">
        <v>19</v>
      </c>
      <c r="E19" s="50">
        <v>0</v>
      </c>
      <c r="F19" s="50">
        <v>7</v>
      </c>
      <c r="G19" s="50">
        <f t="shared" si="0"/>
        <v>1644</v>
      </c>
    </row>
    <row r="20" spans="1:7" s="28" customFormat="1">
      <c r="A20" s="29">
        <v>1</v>
      </c>
      <c r="B20" s="30" t="s">
        <v>22</v>
      </c>
      <c r="C20" s="47">
        <v>45898</v>
      </c>
      <c r="D20" s="49" t="s">
        <v>19</v>
      </c>
      <c r="E20" s="50">
        <v>0</v>
      </c>
      <c r="F20" s="50">
        <v>25</v>
      </c>
      <c r="G20" s="50">
        <f t="shared" si="0"/>
        <v>1619</v>
      </c>
    </row>
    <row r="21" spans="1:7" s="28" customFormat="1">
      <c r="A21" s="29">
        <v>1</v>
      </c>
      <c r="B21" s="30" t="s">
        <v>22</v>
      </c>
      <c r="C21" s="47">
        <v>45904</v>
      </c>
      <c r="D21" s="49" t="s">
        <v>19</v>
      </c>
      <c r="E21" s="50">
        <v>0</v>
      </c>
      <c r="F21" s="50">
        <v>7</v>
      </c>
      <c r="G21" s="50">
        <f t="shared" si="0"/>
        <v>1612</v>
      </c>
    </row>
    <row r="22" spans="1:7" s="28" customFormat="1">
      <c r="A22" s="29">
        <v>1</v>
      </c>
      <c r="B22" s="30" t="s">
        <v>22</v>
      </c>
      <c r="C22" s="47">
        <v>45905</v>
      </c>
      <c r="D22" s="49" t="s">
        <v>19</v>
      </c>
      <c r="E22" s="50">
        <v>0</v>
      </c>
      <c r="F22" s="50">
        <v>8</v>
      </c>
      <c r="G22" s="50">
        <f t="shared" si="0"/>
        <v>1604</v>
      </c>
    </row>
    <row r="23" spans="1:7" s="28" customFormat="1">
      <c r="A23" s="29">
        <v>1</v>
      </c>
      <c r="B23" s="30" t="s">
        <v>22</v>
      </c>
      <c r="C23" s="47">
        <v>45906</v>
      </c>
      <c r="D23" s="49" t="s">
        <v>34</v>
      </c>
      <c r="E23" s="50">
        <v>4000</v>
      </c>
      <c r="F23" s="50">
        <v>0</v>
      </c>
      <c r="G23" s="50">
        <f t="shared" si="0"/>
        <v>5604</v>
      </c>
    </row>
    <row r="24" spans="1:7" s="28" customFormat="1">
      <c r="A24" s="29">
        <v>1</v>
      </c>
      <c r="B24" s="30" t="s">
        <v>22</v>
      </c>
      <c r="C24" s="47">
        <v>45910</v>
      </c>
      <c r="D24" s="49" t="s">
        <v>35</v>
      </c>
      <c r="E24" s="50">
        <v>0</v>
      </c>
      <c r="F24" s="50">
        <v>3010</v>
      </c>
      <c r="G24" s="50">
        <f t="shared" si="0"/>
        <v>2594</v>
      </c>
    </row>
    <row r="25" spans="1:7" s="28" customFormat="1">
      <c r="A25" s="29">
        <v>1</v>
      </c>
      <c r="B25" s="30" t="s">
        <v>22</v>
      </c>
      <c r="C25" s="47">
        <v>45922</v>
      </c>
      <c r="D25" s="49" t="s">
        <v>19</v>
      </c>
      <c r="E25" s="50">
        <v>0</v>
      </c>
      <c r="F25" s="50">
        <v>8</v>
      </c>
      <c r="G25" s="50">
        <f t="shared" si="0"/>
        <v>2586</v>
      </c>
    </row>
    <row r="26" spans="1:7" s="28" customFormat="1">
      <c r="A26" s="29">
        <v>1</v>
      </c>
      <c r="B26" s="30" t="s">
        <v>22</v>
      </c>
      <c r="C26" s="47">
        <v>45923</v>
      </c>
      <c r="D26" s="49" t="s">
        <v>19</v>
      </c>
      <c r="E26" s="50">
        <v>0</v>
      </c>
      <c r="F26" s="50">
        <v>8</v>
      </c>
      <c r="G26" s="50">
        <f t="shared" si="0"/>
        <v>2578</v>
      </c>
    </row>
    <row r="27" spans="1:7" s="28" customFormat="1">
      <c r="A27" s="29">
        <v>1</v>
      </c>
      <c r="B27" s="30" t="s">
        <v>22</v>
      </c>
      <c r="C27" s="47">
        <v>45924</v>
      </c>
      <c r="D27" s="49" t="s">
        <v>19</v>
      </c>
      <c r="E27" s="50">
        <v>0</v>
      </c>
      <c r="F27" s="50">
        <v>2</v>
      </c>
      <c r="G27" s="50">
        <f t="shared" si="0"/>
        <v>2576</v>
      </c>
    </row>
    <row r="28" spans="1:7" s="28" customFormat="1">
      <c r="A28" s="29">
        <v>1</v>
      </c>
      <c r="B28" s="30" t="s">
        <v>22</v>
      </c>
      <c r="C28" s="47">
        <v>45926</v>
      </c>
      <c r="D28" s="49" t="s">
        <v>19</v>
      </c>
      <c r="E28" s="50">
        <v>0</v>
      </c>
      <c r="F28" s="50">
        <v>23</v>
      </c>
      <c r="G28" s="50">
        <f t="shared" si="0"/>
        <v>2553</v>
      </c>
    </row>
    <row r="29" spans="1:7" s="28" customFormat="1">
      <c r="A29" s="29">
        <v>1</v>
      </c>
      <c r="B29" s="30" t="s">
        <v>22</v>
      </c>
      <c r="C29" s="47">
        <v>45929</v>
      </c>
      <c r="D29" s="49" t="s">
        <v>19</v>
      </c>
      <c r="E29" s="50">
        <v>0</v>
      </c>
      <c r="F29" s="50">
        <v>9</v>
      </c>
      <c r="G29" s="50">
        <f t="shared" si="0"/>
        <v>2544</v>
      </c>
    </row>
    <row r="30" spans="1:7" s="28" customFormat="1">
      <c r="A30" s="29">
        <v>1</v>
      </c>
      <c r="B30" s="30" t="s">
        <v>22</v>
      </c>
      <c r="C30" s="47">
        <v>45947</v>
      </c>
      <c r="D30" s="49" t="s">
        <v>41</v>
      </c>
      <c r="E30" s="50">
        <v>4000</v>
      </c>
      <c r="F30" s="50">
        <v>0</v>
      </c>
      <c r="G30" s="50">
        <f t="shared" ref="G30:G60" si="1">G29+E30-F30</f>
        <v>6544</v>
      </c>
    </row>
    <row r="31" spans="1:7" s="28" customFormat="1">
      <c r="A31" s="29">
        <v>1</v>
      </c>
      <c r="B31" s="30" t="s">
        <v>22</v>
      </c>
      <c r="C31" s="47">
        <v>45971</v>
      </c>
      <c r="D31" s="49" t="s">
        <v>19</v>
      </c>
      <c r="E31" s="50">
        <v>0</v>
      </c>
      <c r="F31" s="50">
        <v>1</v>
      </c>
      <c r="G31" s="50">
        <f t="shared" si="1"/>
        <v>6543</v>
      </c>
    </row>
    <row r="32" spans="1:7" s="28" customFormat="1">
      <c r="A32" s="29">
        <v>1</v>
      </c>
      <c r="B32" s="30" t="s">
        <v>22</v>
      </c>
      <c r="C32" s="47">
        <v>45974</v>
      </c>
      <c r="D32" s="49" t="s">
        <v>19</v>
      </c>
      <c r="E32" s="50">
        <v>0</v>
      </c>
      <c r="F32" s="50">
        <v>5</v>
      </c>
      <c r="G32" s="50">
        <f t="shared" si="1"/>
        <v>6538</v>
      </c>
    </row>
    <row r="33" spans="1:7" s="28" customFormat="1">
      <c r="A33" s="29">
        <v>1</v>
      </c>
      <c r="B33" s="30" t="s">
        <v>22</v>
      </c>
      <c r="C33" s="47">
        <v>45975</v>
      </c>
      <c r="D33" s="49" t="s">
        <v>47</v>
      </c>
      <c r="E33" s="50">
        <v>0</v>
      </c>
      <c r="F33" s="50">
        <v>4025</v>
      </c>
      <c r="G33" s="50">
        <f t="shared" si="1"/>
        <v>2513</v>
      </c>
    </row>
    <row r="34" spans="1:7" s="28" customFormat="1">
      <c r="A34" s="29">
        <v>1</v>
      </c>
      <c r="B34" s="30" t="s">
        <v>22</v>
      </c>
      <c r="C34" s="47">
        <v>45980</v>
      </c>
      <c r="D34" s="49" t="s">
        <v>48</v>
      </c>
      <c r="E34" s="50">
        <v>6000</v>
      </c>
      <c r="F34" s="50">
        <v>0</v>
      </c>
      <c r="G34" s="50">
        <f t="shared" si="1"/>
        <v>8513</v>
      </c>
    </row>
    <row r="35" spans="1:7" s="28" customFormat="1">
      <c r="A35" s="29">
        <v>1</v>
      </c>
      <c r="B35" s="30" t="s">
        <v>22</v>
      </c>
      <c r="C35" s="47">
        <v>45983</v>
      </c>
      <c r="D35" s="49" t="s">
        <v>51</v>
      </c>
      <c r="E35" s="50"/>
      <c r="F35" s="50">
        <v>2010</v>
      </c>
      <c r="G35" s="50">
        <f t="shared" si="1"/>
        <v>6503</v>
      </c>
    </row>
    <row r="36" spans="1:7" s="28" customFormat="1">
      <c r="A36" s="29">
        <v>1</v>
      </c>
      <c r="B36" s="30" t="s">
        <v>22</v>
      </c>
      <c r="C36" s="47">
        <v>45987</v>
      </c>
      <c r="D36" s="49" t="s">
        <v>19</v>
      </c>
      <c r="E36" s="50">
        <v>0</v>
      </c>
      <c r="F36" s="50">
        <v>14</v>
      </c>
      <c r="G36" s="50">
        <f t="shared" si="1"/>
        <v>6489</v>
      </c>
    </row>
    <row r="37" spans="1:7" s="28" customFormat="1">
      <c r="A37" s="29">
        <v>1</v>
      </c>
      <c r="B37" s="30" t="s">
        <v>22</v>
      </c>
      <c r="C37" s="47">
        <v>45988</v>
      </c>
      <c r="D37" s="49" t="s">
        <v>19</v>
      </c>
      <c r="E37" s="50">
        <v>0</v>
      </c>
      <c r="F37" s="50">
        <v>5</v>
      </c>
      <c r="G37" s="50">
        <f t="shared" si="1"/>
        <v>6484</v>
      </c>
    </row>
    <row r="38" spans="1:7" s="28" customFormat="1">
      <c r="A38" s="29">
        <v>1</v>
      </c>
      <c r="B38" s="30" t="s">
        <v>22</v>
      </c>
      <c r="C38" s="47">
        <v>45989</v>
      </c>
      <c r="D38" s="49" t="s">
        <v>50</v>
      </c>
      <c r="E38" s="50"/>
      <c r="F38" s="50">
        <v>3516</v>
      </c>
      <c r="G38" s="50">
        <f t="shared" si="1"/>
        <v>2968</v>
      </c>
    </row>
    <row r="39" spans="1:7" s="28" customFormat="1">
      <c r="A39" s="29">
        <v>1</v>
      </c>
      <c r="B39" s="30" t="s">
        <v>22</v>
      </c>
      <c r="C39" s="47">
        <v>45992</v>
      </c>
      <c r="D39" s="49" t="s">
        <v>19</v>
      </c>
      <c r="E39" s="50"/>
      <c r="F39" s="50">
        <v>3</v>
      </c>
      <c r="G39" s="50">
        <f t="shared" si="1"/>
        <v>2965</v>
      </c>
    </row>
    <row r="40" spans="1:7" s="28" customFormat="1">
      <c r="A40" s="29">
        <v>1</v>
      </c>
      <c r="B40" s="30" t="s">
        <v>22</v>
      </c>
      <c r="C40" s="47">
        <v>45992</v>
      </c>
      <c r="D40" s="49" t="s">
        <v>19</v>
      </c>
      <c r="E40" s="50"/>
      <c r="F40" s="50">
        <v>4</v>
      </c>
      <c r="G40" s="50">
        <f t="shared" si="1"/>
        <v>2961</v>
      </c>
    </row>
    <row r="41" spans="1:7" s="28" customFormat="1" ht="15" thickBot="1">
      <c r="A41" s="32">
        <v>1</v>
      </c>
      <c r="B41" s="33" t="s">
        <v>22</v>
      </c>
      <c r="C41" s="57">
        <v>45994</v>
      </c>
      <c r="D41" s="58" t="s">
        <v>19</v>
      </c>
      <c r="E41" s="59"/>
      <c r="F41" s="59">
        <v>4</v>
      </c>
      <c r="G41" s="59">
        <f t="shared" si="1"/>
        <v>2957</v>
      </c>
    </row>
    <row r="42" spans="1:7" s="28" customFormat="1">
      <c r="A42" s="25">
        <v>1</v>
      </c>
      <c r="B42" s="26" t="s">
        <v>22</v>
      </c>
      <c r="C42" s="54">
        <v>45995</v>
      </c>
      <c r="D42" s="55" t="s">
        <v>19</v>
      </c>
      <c r="E42" s="56"/>
      <c r="F42" s="56">
        <v>15</v>
      </c>
      <c r="G42" s="56">
        <f t="shared" si="1"/>
        <v>2942</v>
      </c>
    </row>
    <row r="43" spans="1:7" s="28" customFormat="1">
      <c r="A43" s="29">
        <v>1</v>
      </c>
      <c r="B43" s="30" t="s">
        <v>22</v>
      </c>
      <c r="C43" s="47">
        <v>45997</v>
      </c>
      <c r="D43" s="49" t="s">
        <v>19</v>
      </c>
      <c r="E43" s="50"/>
      <c r="F43" s="50">
        <v>19</v>
      </c>
      <c r="G43" s="50">
        <f t="shared" si="1"/>
        <v>2923</v>
      </c>
    </row>
    <row r="44" spans="1:7" s="28" customFormat="1">
      <c r="A44" s="29">
        <v>1</v>
      </c>
      <c r="B44" s="30" t="s">
        <v>22</v>
      </c>
      <c r="C44" s="47">
        <v>46001</v>
      </c>
      <c r="D44" s="49" t="s">
        <v>19</v>
      </c>
      <c r="E44" s="50"/>
      <c r="F44" s="50">
        <v>10</v>
      </c>
      <c r="G44" s="50">
        <f t="shared" si="1"/>
        <v>2913</v>
      </c>
    </row>
    <row r="45" spans="1:7" s="28" customFormat="1">
      <c r="A45" s="29">
        <v>1</v>
      </c>
      <c r="B45" s="30" t="s">
        <v>22</v>
      </c>
      <c r="C45" s="47">
        <v>46002</v>
      </c>
      <c r="D45" s="49" t="s">
        <v>52</v>
      </c>
      <c r="E45" s="50"/>
      <c r="F45" s="50">
        <v>2024</v>
      </c>
      <c r="G45" s="50">
        <f t="shared" si="1"/>
        <v>889</v>
      </c>
    </row>
    <row r="46" spans="1:7" s="28" customFormat="1">
      <c r="A46" s="29">
        <v>1</v>
      </c>
      <c r="B46" s="30" t="s">
        <v>22</v>
      </c>
      <c r="C46" s="47">
        <v>46002</v>
      </c>
      <c r="D46" s="49" t="s">
        <v>53</v>
      </c>
      <c r="E46" s="50"/>
      <c r="F46" s="50">
        <v>840</v>
      </c>
      <c r="G46" s="50">
        <f t="shared" si="1"/>
        <v>49</v>
      </c>
    </row>
    <row r="47" spans="1:7" s="28" customFormat="1">
      <c r="A47" s="29">
        <v>1</v>
      </c>
      <c r="B47" s="30" t="s">
        <v>22</v>
      </c>
      <c r="C47" s="47">
        <v>46009</v>
      </c>
      <c r="D47" s="49" t="s">
        <v>54</v>
      </c>
      <c r="E47" s="50">
        <v>6000</v>
      </c>
      <c r="F47" s="49">
        <v>0</v>
      </c>
      <c r="G47" s="50">
        <f t="shared" si="1"/>
        <v>6049</v>
      </c>
    </row>
    <row r="48" spans="1:7" s="28" customFormat="1">
      <c r="A48" s="29">
        <v>1</v>
      </c>
      <c r="B48" s="30" t="s">
        <v>22</v>
      </c>
      <c r="C48" s="47">
        <v>46021</v>
      </c>
      <c r="D48" s="49" t="s">
        <v>55</v>
      </c>
      <c r="E48" s="50">
        <v>6000</v>
      </c>
      <c r="F48" s="49">
        <v>0</v>
      </c>
      <c r="G48" s="50">
        <f t="shared" si="1"/>
        <v>12049</v>
      </c>
    </row>
    <row r="49" spans="1:8" s="28" customFormat="1">
      <c r="A49" s="29">
        <v>1</v>
      </c>
      <c r="B49" s="30" t="s">
        <v>22</v>
      </c>
      <c r="C49" s="47">
        <v>46003</v>
      </c>
      <c r="D49" s="49" t="s">
        <v>56</v>
      </c>
      <c r="E49" s="50"/>
      <c r="F49" s="50">
        <v>927</v>
      </c>
      <c r="G49" s="50">
        <f t="shared" si="1"/>
        <v>11122</v>
      </c>
    </row>
    <row r="50" spans="1:8" s="36" customFormat="1">
      <c r="A50" s="34">
        <v>1</v>
      </c>
      <c r="B50" s="35" t="s">
        <v>22</v>
      </c>
      <c r="C50" s="60">
        <v>46003</v>
      </c>
      <c r="D50" s="61" t="s">
        <v>52</v>
      </c>
      <c r="E50" s="62"/>
      <c r="F50" s="62">
        <v>0</v>
      </c>
      <c r="G50" s="62">
        <f t="shared" si="1"/>
        <v>11122</v>
      </c>
    </row>
    <row r="51" spans="1:8" s="36" customFormat="1">
      <c r="A51" s="34">
        <v>1</v>
      </c>
      <c r="B51" s="35" t="s">
        <v>22</v>
      </c>
      <c r="C51" s="60">
        <v>46006</v>
      </c>
      <c r="D51" s="61" t="s">
        <v>57</v>
      </c>
      <c r="E51" s="62"/>
      <c r="F51" s="62">
        <v>3014</v>
      </c>
      <c r="G51" s="62">
        <f t="shared" si="1"/>
        <v>8108</v>
      </c>
    </row>
    <row r="52" spans="1:8" s="36" customFormat="1">
      <c r="A52" s="34">
        <v>1</v>
      </c>
      <c r="B52" s="35" t="s">
        <v>22</v>
      </c>
      <c r="C52" s="60" t="s">
        <v>78</v>
      </c>
      <c r="D52" s="61" t="s">
        <v>77</v>
      </c>
      <c r="E52" s="62"/>
      <c r="F52" s="62">
        <v>2512</v>
      </c>
      <c r="G52" s="62">
        <f t="shared" si="1"/>
        <v>5596</v>
      </c>
    </row>
    <row r="53" spans="1:8" s="36" customFormat="1">
      <c r="A53" s="34">
        <v>1</v>
      </c>
      <c r="B53" s="35" t="s">
        <v>22</v>
      </c>
      <c r="C53" s="60" t="s">
        <v>66</v>
      </c>
      <c r="D53" s="61" t="s">
        <v>58</v>
      </c>
      <c r="E53" s="62"/>
      <c r="F53" s="62">
        <v>1010</v>
      </c>
      <c r="G53" s="62">
        <f t="shared" si="1"/>
        <v>4586</v>
      </c>
    </row>
    <row r="54" spans="1:8" s="36" customFormat="1">
      <c r="A54" s="34">
        <v>1</v>
      </c>
      <c r="B54" s="35" t="s">
        <v>22</v>
      </c>
      <c r="C54" s="60">
        <v>46029</v>
      </c>
      <c r="D54" s="61" t="s">
        <v>19</v>
      </c>
      <c r="E54" s="62"/>
      <c r="F54" s="62">
        <v>16</v>
      </c>
      <c r="G54" s="62">
        <f t="shared" si="1"/>
        <v>4570</v>
      </c>
    </row>
    <row r="55" spans="1:8" s="36" customFormat="1">
      <c r="A55" s="34">
        <v>1</v>
      </c>
      <c r="B55" s="35" t="s">
        <v>22</v>
      </c>
      <c r="C55" s="60">
        <v>46372</v>
      </c>
      <c r="D55" s="61" t="s">
        <v>67</v>
      </c>
      <c r="E55" s="62"/>
      <c r="F55" s="62">
        <v>1066</v>
      </c>
      <c r="G55" s="62">
        <f t="shared" si="1"/>
        <v>3504</v>
      </c>
    </row>
    <row r="56" spans="1:8" s="36" customFormat="1">
      <c r="A56" s="34">
        <v>1</v>
      </c>
      <c r="B56" s="35" t="s">
        <v>22</v>
      </c>
      <c r="C56" s="60">
        <v>46042</v>
      </c>
      <c r="D56" s="61" t="s">
        <v>72</v>
      </c>
      <c r="E56" s="62">
        <v>6000</v>
      </c>
      <c r="F56" s="61">
        <v>0</v>
      </c>
      <c r="G56" s="62">
        <f t="shared" si="1"/>
        <v>9504</v>
      </c>
    </row>
    <row r="57" spans="1:8" s="36" customFormat="1">
      <c r="A57" s="34">
        <v>1</v>
      </c>
      <c r="B57" s="35" t="s">
        <v>22</v>
      </c>
      <c r="C57" s="66">
        <v>46377</v>
      </c>
      <c r="D57" s="34" t="s">
        <v>67</v>
      </c>
      <c r="E57" s="67"/>
      <c r="F57" s="67">
        <v>1715</v>
      </c>
      <c r="G57" s="67">
        <f t="shared" si="1"/>
        <v>7789</v>
      </c>
    </row>
    <row r="58" spans="1:8" s="36" customFormat="1">
      <c r="A58" s="34">
        <v>1</v>
      </c>
      <c r="B58" s="35" t="s">
        <v>22</v>
      </c>
      <c r="C58" s="66">
        <v>46378</v>
      </c>
      <c r="D58" s="34" t="s">
        <v>67</v>
      </c>
      <c r="E58" s="67"/>
      <c r="F58" s="67">
        <v>1272</v>
      </c>
      <c r="G58" s="67">
        <f t="shared" si="1"/>
        <v>6517</v>
      </c>
    </row>
    <row r="59" spans="1:8" s="36" customFormat="1">
      <c r="A59" s="34">
        <v>1</v>
      </c>
      <c r="B59" s="35" t="s">
        <v>22</v>
      </c>
      <c r="C59" s="66">
        <v>46049</v>
      </c>
      <c r="D59" s="34" t="s">
        <v>19</v>
      </c>
      <c r="E59" s="67"/>
      <c r="F59" s="67">
        <v>17</v>
      </c>
      <c r="G59" s="67">
        <f t="shared" si="1"/>
        <v>6500</v>
      </c>
    </row>
    <row r="60" spans="1:8" s="36" customFormat="1">
      <c r="A60" s="34">
        <v>1</v>
      </c>
      <c r="B60" s="35" t="s">
        <v>22</v>
      </c>
      <c r="C60" s="66">
        <v>46050</v>
      </c>
      <c r="D60" s="34" t="s">
        <v>19</v>
      </c>
      <c r="E60" s="67"/>
      <c r="F60" s="67">
        <v>13</v>
      </c>
      <c r="G60" s="67">
        <f t="shared" si="1"/>
        <v>6487</v>
      </c>
    </row>
    <row r="61" spans="1:8" s="37" customFormat="1">
      <c r="H61" s="38"/>
    </row>
    <row r="62" spans="1:8" s="37" customFormat="1"/>
  </sheetData>
  <phoneticPr fontId="7" type="noConversion"/>
  <pageMargins left="0.7" right="0.7" top="0.75" bottom="0.75" header="0.3" footer="0.3"/>
  <pageSetup scale="6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6898D-C23A-426C-B3B8-B1801C66FB89}">
  <sheetPr>
    <pageSetUpPr fitToPage="1"/>
  </sheetPr>
  <dimension ref="A1:H37"/>
  <sheetViews>
    <sheetView showGridLines="0" topLeftCell="C13" zoomScale="85" zoomScaleNormal="85" workbookViewId="0">
      <selection activeCell="D25" sqref="D25:D26"/>
    </sheetView>
  </sheetViews>
  <sheetFormatPr baseColWidth="10" defaultColWidth="10.6640625" defaultRowHeight="14.4"/>
  <cols>
    <col min="1" max="1" width="5.109375" bestFit="1" customWidth="1"/>
    <col min="2" max="2" width="39.6640625" customWidth="1"/>
    <col min="3" max="3" width="17.6640625" customWidth="1"/>
    <col min="4" max="4" width="45.33203125" customWidth="1"/>
  </cols>
  <sheetData>
    <row r="1" spans="1:7">
      <c r="A1" s="8"/>
      <c r="B1" s="9"/>
      <c r="C1" s="10"/>
      <c r="D1" s="8"/>
      <c r="E1" s="11"/>
      <c r="F1" s="11"/>
    </row>
    <row r="2" spans="1:7">
      <c r="A2" s="40" t="s">
        <v>1</v>
      </c>
      <c r="B2" s="39" t="s">
        <v>0</v>
      </c>
      <c r="C2" s="39" t="s">
        <v>2</v>
      </c>
      <c r="D2" s="39" t="s">
        <v>6</v>
      </c>
      <c r="E2" s="39" t="s">
        <v>3</v>
      </c>
      <c r="F2" s="39" t="s">
        <v>4</v>
      </c>
      <c r="G2" s="39" t="s">
        <v>5</v>
      </c>
    </row>
    <row r="3" spans="1:7" s="28" customFormat="1">
      <c r="A3" s="29">
        <v>2</v>
      </c>
      <c r="B3" s="30" t="s">
        <v>21</v>
      </c>
      <c r="C3" s="47">
        <v>45790</v>
      </c>
      <c r="D3" s="29" t="s">
        <v>7</v>
      </c>
      <c r="E3" s="27">
        <v>5006</v>
      </c>
      <c r="F3" s="27">
        <v>0</v>
      </c>
      <c r="G3" s="27">
        <f>E3-F3</f>
        <v>5006</v>
      </c>
    </row>
    <row r="4" spans="1:7" s="28" customFormat="1">
      <c r="A4" s="29">
        <v>2</v>
      </c>
      <c r="B4" s="30" t="s">
        <v>21</v>
      </c>
      <c r="C4" s="47">
        <v>45792</v>
      </c>
      <c r="D4" s="29" t="s">
        <v>18</v>
      </c>
      <c r="E4" s="27">
        <v>0</v>
      </c>
      <c r="F4" s="27">
        <v>4668</v>
      </c>
      <c r="G4" s="27">
        <f>E4+G3-F4</f>
        <v>338</v>
      </c>
    </row>
    <row r="5" spans="1:7" s="28" customFormat="1">
      <c r="A5" s="29">
        <v>2</v>
      </c>
      <c r="B5" s="30" t="s">
        <v>21</v>
      </c>
      <c r="C5" s="47">
        <v>45794</v>
      </c>
      <c r="D5" s="29" t="s">
        <v>18</v>
      </c>
      <c r="E5" s="27">
        <v>0</v>
      </c>
      <c r="F5" s="27">
        <v>334</v>
      </c>
      <c r="G5" s="27">
        <f t="shared" ref="G5:G32" si="0">E5+G4-F5</f>
        <v>4</v>
      </c>
    </row>
    <row r="6" spans="1:7" s="28" customFormat="1">
      <c r="A6" s="29">
        <v>2</v>
      </c>
      <c r="B6" s="30" t="s">
        <v>21</v>
      </c>
      <c r="C6" s="47">
        <v>45813</v>
      </c>
      <c r="D6" s="29" t="s">
        <v>19</v>
      </c>
      <c r="E6" s="27">
        <v>0</v>
      </c>
      <c r="F6" s="27">
        <v>2</v>
      </c>
      <c r="G6" s="27">
        <f t="shared" si="0"/>
        <v>2</v>
      </c>
    </row>
    <row r="7" spans="1:7" s="28" customFormat="1">
      <c r="A7" s="29">
        <v>2</v>
      </c>
      <c r="B7" s="30" t="s">
        <v>21</v>
      </c>
      <c r="C7" s="47">
        <v>45832</v>
      </c>
      <c r="D7" s="29" t="s">
        <v>19</v>
      </c>
      <c r="E7" s="27">
        <v>0</v>
      </c>
      <c r="F7" s="27">
        <v>2</v>
      </c>
      <c r="G7" s="27">
        <f t="shared" si="0"/>
        <v>0</v>
      </c>
    </row>
    <row r="8" spans="1:7" s="28" customFormat="1">
      <c r="A8" s="29">
        <v>2</v>
      </c>
      <c r="B8" s="30" t="s">
        <v>21</v>
      </c>
      <c r="C8" s="47">
        <v>45834</v>
      </c>
      <c r="D8" s="29" t="s">
        <v>25</v>
      </c>
      <c r="E8" s="27">
        <v>5005</v>
      </c>
      <c r="F8" s="27">
        <v>0</v>
      </c>
      <c r="G8" s="27">
        <f t="shared" si="0"/>
        <v>5005</v>
      </c>
    </row>
    <row r="9" spans="1:7" s="28" customFormat="1">
      <c r="A9" s="29">
        <v>2</v>
      </c>
      <c r="B9" s="30" t="s">
        <v>21</v>
      </c>
      <c r="C9" s="47">
        <v>45848</v>
      </c>
      <c r="D9" s="29" t="s">
        <v>26</v>
      </c>
      <c r="E9" s="27">
        <v>0</v>
      </c>
      <c r="F9" s="27">
        <v>4003</v>
      </c>
      <c r="G9" s="27">
        <f t="shared" si="0"/>
        <v>1002</v>
      </c>
    </row>
    <row r="10" spans="1:7" s="28" customFormat="1">
      <c r="A10" s="29">
        <v>2</v>
      </c>
      <c r="B10" s="30" t="s">
        <v>21</v>
      </c>
      <c r="C10" s="47">
        <v>45852</v>
      </c>
      <c r="D10" s="29" t="s">
        <v>19</v>
      </c>
      <c r="E10" s="27">
        <v>0</v>
      </c>
      <c r="F10" s="27">
        <v>5</v>
      </c>
      <c r="G10" s="27">
        <f t="shared" si="0"/>
        <v>997</v>
      </c>
    </row>
    <row r="11" spans="1:7" s="28" customFormat="1">
      <c r="A11" s="29">
        <v>2</v>
      </c>
      <c r="B11" s="30" t="s">
        <v>21</v>
      </c>
      <c r="C11" s="47">
        <v>45856</v>
      </c>
      <c r="D11" s="29" t="s">
        <v>19</v>
      </c>
      <c r="E11" s="27">
        <v>0</v>
      </c>
      <c r="F11" s="27">
        <v>4</v>
      </c>
      <c r="G11" s="27">
        <f t="shared" si="0"/>
        <v>993</v>
      </c>
    </row>
    <row r="12" spans="1:7" s="28" customFormat="1">
      <c r="A12" s="29">
        <v>2</v>
      </c>
      <c r="B12" s="30" t="s">
        <v>21</v>
      </c>
      <c r="C12" s="47">
        <v>45859</v>
      </c>
      <c r="D12" s="29" t="s">
        <v>19</v>
      </c>
      <c r="E12" s="27">
        <v>0</v>
      </c>
      <c r="F12" s="27">
        <v>4</v>
      </c>
      <c r="G12" s="27">
        <f t="shared" si="0"/>
        <v>989</v>
      </c>
    </row>
    <row r="13" spans="1:7" s="28" customFormat="1">
      <c r="A13" s="29">
        <v>2</v>
      </c>
      <c r="B13" s="30" t="s">
        <v>21</v>
      </c>
      <c r="C13" s="47">
        <v>45870</v>
      </c>
      <c r="D13" s="29" t="s">
        <v>31</v>
      </c>
      <c r="E13" s="27">
        <v>0</v>
      </c>
      <c r="F13" s="27">
        <v>989</v>
      </c>
      <c r="G13" s="27">
        <f t="shared" si="0"/>
        <v>0</v>
      </c>
    </row>
    <row r="14" spans="1:7" s="28" customFormat="1">
      <c r="A14" s="29">
        <v>2</v>
      </c>
      <c r="B14" s="30" t="s">
        <v>21</v>
      </c>
      <c r="C14" s="47">
        <v>45878</v>
      </c>
      <c r="D14" s="29" t="s">
        <v>32</v>
      </c>
      <c r="E14" s="27">
        <v>1000</v>
      </c>
      <c r="F14" s="27">
        <v>0</v>
      </c>
      <c r="G14" s="27">
        <f t="shared" si="0"/>
        <v>1000</v>
      </c>
    </row>
    <row r="15" spans="1:7" s="28" customFormat="1">
      <c r="A15" s="29">
        <v>2</v>
      </c>
      <c r="B15" s="30" t="s">
        <v>21</v>
      </c>
      <c r="C15" s="47">
        <v>45881</v>
      </c>
      <c r="D15" s="29" t="s">
        <v>31</v>
      </c>
      <c r="E15" s="27">
        <v>0</v>
      </c>
      <c r="F15" s="27">
        <v>984</v>
      </c>
      <c r="G15" s="27">
        <f t="shared" si="0"/>
        <v>16</v>
      </c>
    </row>
    <row r="16" spans="1:7" s="28" customFormat="1">
      <c r="A16" s="29">
        <v>2</v>
      </c>
      <c r="B16" s="30" t="s">
        <v>21</v>
      </c>
      <c r="C16" s="47">
        <v>45894</v>
      </c>
      <c r="D16" s="29" t="s">
        <v>19</v>
      </c>
      <c r="E16" s="27">
        <v>0</v>
      </c>
      <c r="F16" s="27">
        <v>1</v>
      </c>
      <c r="G16" s="27">
        <f t="shared" si="0"/>
        <v>15</v>
      </c>
    </row>
    <row r="17" spans="1:7" s="28" customFormat="1">
      <c r="A17" s="29">
        <v>2</v>
      </c>
      <c r="B17" s="30" t="s">
        <v>21</v>
      </c>
      <c r="C17" s="47">
        <v>45895</v>
      </c>
      <c r="D17" s="29" t="s">
        <v>19</v>
      </c>
      <c r="E17" s="27">
        <v>0</v>
      </c>
      <c r="F17" s="27">
        <v>8</v>
      </c>
      <c r="G17" s="27">
        <f t="shared" si="0"/>
        <v>7</v>
      </c>
    </row>
    <row r="18" spans="1:7" s="28" customFormat="1">
      <c r="A18" s="29">
        <v>2</v>
      </c>
      <c r="B18" s="30" t="s">
        <v>21</v>
      </c>
      <c r="C18" s="47">
        <v>45903</v>
      </c>
      <c r="D18" s="29" t="s">
        <v>19</v>
      </c>
      <c r="E18" s="27">
        <v>0</v>
      </c>
      <c r="F18" s="27">
        <v>7</v>
      </c>
      <c r="G18" s="27">
        <f t="shared" si="0"/>
        <v>0</v>
      </c>
    </row>
    <row r="19" spans="1:7" s="28" customFormat="1">
      <c r="A19" s="29">
        <v>2</v>
      </c>
      <c r="B19" s="30" t="s">
        <v>21</v>
      </c>
      <c r="C19" s="47">
        <v>45906</v>
      </c>
      <c r="D19" s="29" t="s">
        <v>34</v>
      </c>
      <c r="E19" s="27">
        <v>200</v>
      </c>
      <c r="F19" s="27">
        <v>0</v>
      </c>
      <c r="G19" s="27">
        <f t="shared" si="0"/>
        <v>200</v>
      </c>
    </row>
    <row r="20" spans="1:7" s="28" customFormat="1">
      <c r="A20" s="29">
        <v>2</v>
      </c>
      <c r="B20" s="30" t="s">
        <v>21</v>
      </c>
      <c r="C20" s="47">
        <v>45947</v>
      </c>
      <c r="D20" s="29" t="s">
        <v>42</v>
      </c>
      <c r="E20" s="27">
        <v>6300</v>
      </c>
      <c r="F20" s="27">
        <v>0</v>
      </c>
      <c r="G20" s="27">
        <f t="shared" si="0"/>
        <v>6500</v>
      </c>
    </row>
    <row r="21" spans="1:7" s="28" customFormat="1">
      <c r="A21" s="29">
        <v>2</v>
      </c>
      <c r="B21" s="30" t="s">
        <v>21</v>
      </c>
      <c r="C21" s="47">
        <v>45947</v>
      </c>
      <c r="D21" s="29" t="s">
        <v>19</v>
      </c>
      <c r="E21" s="27">
        <v>0</v>
      </c>
      <c r="F21" s="27">
        <v>10</v>
      </c>
      <c r="G21" s="27">
        <f t="shared" si="0"/>
        <v>6490</v>
      </c>
    </row>
    <row r="22" spans="1:7" s="28" customFormat="1">
      <c r="A22" s="29">
        <v>2</v>
      </c>
      <c r="B22" s="30" t="s">
        <v>21</v>
      </c>
      <c r="C22" s="47">
        <v>45971</v>
      </c>
      <c r="D22" s="29" t="s">
        <v>19</v>
      </c>
      <c r="E22" s="27">
        <v>0</v>
      </c>
      <c r="F22" s="27">
        <v>5</v>
      </c>
      <c r="G22" s="27">
        <f t="shared" si="0"/>
        <v>6485</v>
      </c>
    </row>
    <row r="23" spans="1:7" s="28" customFormat="1">
      <c r="A23" s="29">
        <v>2</v>
      </c>
      <c r="B23" s="30" t="s">
        <v>21</v>
      </c>
      <c r="C23" s="47">
        <v>45974</v>
      </c>
      <c r="D23" s="29" t="s">
        <v>26</v>
      </c>
      <c r="E23" s="27">
        <v>0</v>
      </c>
      <c r="F23" s="27">
        <v>4034</v>
      </c>
      <c r="G23" s="27">
        <f t="shared" si="0"/>
        <v>2451</v>
      </c>
    </row>
    <row r="24" spans="1:7" s="28" customFormat="1">
      <c r="A24" s="29">
        <v>2</v>
      </c>
      <c r="B24" s="30" t="s">
        <v>21</v>
      </c>
      <c r="C24" s="47">
        <v>45980</v>
      </c>
      <c r="D24" s="29" t="s">
        <v>48</v>
      </c>
      <c r="E24" s="27">
        <v>4000</v>
      </c>
      <c r="F24" s="27">
        <v>0</v>
      </c>
      <c r="G24" s="27">
        <f t="shared" si="0"/>
        <v>6451</v>
      </c>
    </row>
    <row r="25" spans="1:7" s="28" customFormat="1">
      <c r="A25" s="29">
        <v>2</v>
      </c>
      <c r="B25" s="30" t="s">
        <v>21</v>
      </c>
      <c r="C25" s="47">
        <v>46001</v>
      </c>
      <c r="D25" s="29" t="s">
        <v>19</v>
      </c>
      <c r="E25" s="27"/>
      <c r="F25" s="27">
        <v>8</v>
      </c>
      <c r="G25" s="27">
        <f t="shared" si="0"/>
        <v>6443</v>
      </c>
    </row>
    <row r="26" spans="1:7" s="28" customFormat="1">
      <c r="A26" s="29">
        <v>2</v>
      </c>
      <c r="B26" s="30" t="s">
        <v>21</v>
      </c>
      <c r="C26" s="47">
        <v>46002</v>
      </c>
      <c r="D26" s="29" t="s">
        <v>24</v>
      </c>
      <c r="E26" s="27">
        <v>0</v>
      </c>
      <c r="F26" s="27">
        <v>2025</v>
      </c>
      <c r="G26" s="27">
        <f t="shared" si="0"/>
        <v>4418</v>
      </c>
    </row>
    <row r="27" spans="1:7" s="28" customFormat="1">
      <c r="A27" s="29">
        <v>2</v>
      </c>
      <c r="B27" s="30" t="s">
        <v>21</v>
      </c>
      <c r="C27" s="47">
        <v>46043</v>
      </c>
      <c r="D27" s="29" t="s">
        <v>26</v>
      </c>
      <c r="E27" s="27">
        <v>0</v>
      </c>
      <c r="F27" s="27">
        <v>4054</v>
      </c>
      <c r="G27" s="27">
        <f t="shared" si="0"/>
        <v>364</v>
      </c>
    </row>
    <row r="28" spans="1:7" s="28" customFormat="1">
      <c r="A28" s="29">
        <v>2</v>
      </c>
      <c r="B28" s="30" t="s">
        <v>21</v>
      </c>
      <c r="C28" s="47">
        <v>46039</v>
      </c>
      <c r="D28" s="29" t="s">
        <v>19</v>
      </c>
      <c r="E28" s="27">
        <v>0</v>
      </c>
      <c r="F28" s="27">
        <v>19</v>
      </c>
      <c r="G28" s="27">
        <f t="shared" si="0"/>
        <v>345</v>
      </c>
    </row>
    <row r="29" spans="1:7" s="28" customFormat="1">
      <c r="A29" s="29">
        <v>2</v>
      </c>
      <c r="B29" s="30" t="s">
        <v>21</v>
      </c>
      <c r="C29" s="47">
        <v>46042</v>
      </c>
      <c r="D29" s="29" t="s">
        <v>72</v>
      </c>
      <c r="E29" s="27">
        <v>4000</v>
      </c>
      <c r="F29" s="29">
        <v>0</v>
      </c>
      <c r="G29" s="27">
        <f t="shared" si="0"/>
        <v>4345</v>
      </c>
    </row>
    <row r="30" spans="1:7" s="28" customFormat="1">
      <c r="A30" s="29">
        <v>2</v>
      </c>
      <c r="B30" s="30" t="s">
        <v>21</v>
      </c>
      <c r="C30" s="47">
        <v>46044</v>
      </c>
      <c r="D30" s="29" t="s">
        <v>19</v>
      </c>
      <c r="E30" s="27">
        <v>0</v>
      </c>
      <c r="F30" s="27">
        <v>20</v>
      </c>
      <c r="G30" s="27">
        <f t="shared" si="0"/>
        <v>4325</v>
      </c>
    </row>
    <row r="31" spans="1:7" s="28" customFormat="1">
      <c r="A31" s="29">
        <v>2</v>
      </c>
      <c r="B31" s="30" t="s">
        <v>21</v>
      </c>
      <c r="C31" s="47">
        <v>46045</v>
      </c>
      <c r="D31" s="29" t="s">
        <v>19</v>
      </c>
      <c r="E31" s="27">
        <v>0</v>
      </c>
      <c r="F31" s="27">
        <v>15</v>
      </c>
      <c r="G31" s="27">
        <f t="shared" si="0"/>
        <v>4310</v>
      </c>
    </row>
    <row r="32" spans="1:7" s="28" customFormat="1">
      <c r="A32" s="29">
        <v>2</v>
      </c>
      <c r="B32" s="30" t="s">
        <v>21</v>
      </c>
      <c r="C32" s="47">
        <v>46049</v>
      </c>
      <c r="D32" s="29" t="s">
        <v>19</v>
      </c>
      <c r="E32" s="27">
        <v>0</v>
      </c>
      <c r="F32" s="27">
        <v>22</v>
      </c>
      <c r="G32" s="27">
        <f t="shared" si="0"/>
        <v>4288</v>
      </c>
    </row>
    <row r="33" spans="1:8" s="28" customFormat="1">
      <c r="A33" s="29">
        <v>2</v>
      </c>
      <c r="B33" s="30" t="s">
        <v>21</v>
      </c>
      <c r="C33" s="47">
        <v>46049</v>
      </c>
      <c r="D33" s="29" t="s">
        <v>65</v>
      </c>
      <c r="E33" s="27">
        <v>0</v>
      </c>
      <c r="F33" s="27">
        <v>9</v>
      </c>
      <c r="G33" s="24">
        <f>E33+G32-F33</f>
        <v>4279</v>
      </c>
    </row>
    <row r="34" spans="1:8" s="28" customFormat="1">
      <c r="H34" s="31"/>
    </row>
    <row r="35" spans="1:8" s="28" customFormat="1"/>
    <row r="36" spans="1:8" s="28" customFormat="1"/>
    <row r="37" spans="1:8" s="28" customFormat="1"/>
  </sheetData>
  <pageMargins left="0.7" right="0.7" top="0.75" bottom="0.75" header="0.3" footer="0.3"/>
  <pageSetup scale="6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C8015-9980-41DE-B77C-3308347E3AFF}">
  <sheetPr>
    <pageSetUpPr fitToPage="1"/>
  </sheetPr>
  <dimension ref="A1:G30"/>
  <sheetViews>
    <sheetView showGridLines="0" topLeftCell="C1" zoomScale="85" zoomScaleNormal="85" workbookViewId="0">
      <selection activeCell="F20" sqref="F20"/>
    </sheetView>
  </sheetViews>
  <sheetFormatPr baseColWidth="10" defaultColWidth="10.6640625" defaultRowHeight="14.4"/>
  <cols>
    <col min="1" max="1" width="5.109375" bestFit="1" customWidth="1"/>
    <col min="2" max="2" width="39.6640625" customWidth="1"/>
    <col min="3" max="3" width="17.6640625" customWidth="1"/>
    <col min="4" max="4" width="45.33203125" customWidth="1"/>
  </cols>
  <sheetData>
    <row r="1" spans="1:7">
      <c r="A1" s="8"/>
      <c r="B1" s="9"/>
      <c r="C1" s="10"/>
      <c r="D1" s="8"/>
      <c r="E1" s="11"/>
      <c r="F1" s="11"/>
    </row>
    <row r="2" spans="1:7">
      <c r="A2" s="8"/>
      <c r="B2" s="9"/>
      <c r="C2" s="10"/>
      <c r="D2" s="8"/>
      <c r="E2" s="11"/>
      <c r="F2" s="11"/>
    </row>
    <row r="3" spans="1:7" ht="14.25" customHeight="1">
      <c r="A3" s="2" t="s">
        <v>1</v>
      </c>
      <c r="B3" s="4" t="s">
        <v>0</v>
      </c>
      <c r="C3" s="4" t="s">
        <v>2</v>
      </c>
      <c r="D3" s="4" t="s">
        <v>6</v>
      </c>
      <c r="E3" s="4" t="s">
        <v>3</v>
      </c>
      <c r="F3" s="4" t="s">
        <v>4</v>
      </c>
      <c r="G3" s="4" t="s">
        <v>5</v>
      </c>
    </row>
    <row r="4" spans="1:7">
      <c r="A4" s="1">
        <v>3</v>
      </c>
      <c r="B4" s="3" t="s">
        <v>20</v>
      </c>
      <c r="C4" s="47">
        <v>45790</v>
      </c>
      <c r="D4" s="1" t="s">
        <v>7</v>
      </c>
      <c r="E4" s="5">
        <v>3000</v>
      </c>
      <c r="F4" s="16">
        <v>0</v>
      </c>
      <c r="G4" s="5">
        <f>E4-F4</f>
        <v>3000</v>
      </c>
    </row>
    <row r="5" spans="1:7">
      <c r="A5" s="1">
        <v>3</v>
      </c>
      <c r="B5" s="3" t="s">
        <v>20</v>
      </c>
      <c r="C5" s="47">
        <v>45881</v>
      </c>
      <c r="D5" s="1" t="s">
        <v>33</v>
      </c>
      <c r="E5" s="5">
        <v>0</v>
      </c>
      <c r="F5" s="16">
        <v>405</v>
      </c>
      <c r="G5" s="5">
        <f>G4+E5-F5</f>
        <v>2595</v>
      </c>
    </row>
    <row r="6" spans="1:7">
      <c r="A6" s="1">
        <v>3</v>
      </c>
      <c r="B6" s="3" t="s">
        <v>20</v>
      </c>
      <c r="C6" s="47">
        <v>45884</v>
      </c>
      <c r="D6" s="1" t="s">
        <v>24</v>
      </c>
      <c r="E6" s="5">
        <v>0</v>
      </c>
      <c r="F6" s="16">
        <v>1745</v>
      </c>
      <c r="G6" s="5">
        <f>G5+E6-F6</f>
        <v>850</v>
      </c>
    </row>
    <row r="7" spans="1:7">
      <c r="A7" s="1">
        <v>3</v>
      </c>
      <c r="B7" s="3" t="s">
        <v>20</v>
      </c>
      <c r="C7" s="47">
        <v>45885</v>
      </c>
      <c r="D7" s="1" t="s">
        <v>24</v>
      </c>
      <c r="E7" s="5">
        <v>0</v>
      </c>
      <c r="F7" s="16">
        <v>277</v>
      </c>
      <c r="G7" s="5">
        <f>G6+E7-F7</f>
        <v>573</v>
      </c>
    </row>
    <row r="8" spans="1:7">
      <c r="A8" s="1">
        <v>3</v>
      </c>
      <c r="B8" s="3" t="s">
        <v>20</v>
      </c>
      <c r="C8" s="47">
        <v>45894</v>
      </c>
      <c r="D8" s="1" t="s">
        <v>19</v>
      </c>
      <c r="E8" s="5">
        <v>0</v>
      </c>
      <c r="F8" s="16">
        <v>4</v>
      </c>
      <c r="G8" s="5">
        <f t="shared" ref="G8:G29" si="0">G7+E8-F8</f>
        <v>569</v>
      </c>
    </row>
    <row r="9" spans="1:7">
      <c r="A9" s="1">
        <v>3</v>
      </c>
      <c r="B9" s="3" t="s">
        <v>20</v>
      </c>
      <c r="C9" s="47">
        <v>45895</v>
      </c>
      <c r="D9" s="1" t="s">
        <v>19</v>
      </c>
      <c r="E9" s="5">
        <v>0</v>
      </c>
      <c r="F9" s="16">
        <v>16</v>
      </c>
      <c r="G9" s="5">
        <f t="shared" si="0"/>
        <v>553</v>
      </c>
    </row>
    <row r="10" spans="1:7">
      <c r="A10" s="1">
        <v>3</v>
      </c>
      <c r="B10" s="3" t="s">
        <v>20</v>
      </c>
      <c r="C10" s="47">
        <v>45897</v>
      </c>
      <c r="D10" s="1" t="s">
        <v>19</v>
      </c>
      <c r="E10" s="5">
        <v>0</v>
      </c>
      <c r="F10" s="16">
        <v>1</v>
      </c>
      <c r="G10" s="5">
        <f t="shared" si="0"/>
        <v>552</v>
      </c>
    </row>
    <row r="11" spans="1:7">
      <c r="A11" s="1">
        <v>3</v>
      </c>
      <c r="B11" s="3" t="s">
        <v>20</v>
      </c>
      <c r="C11" s="47">
        <v>45904</v>
      </c>
      <c r="D11" s="1" t="s">
        <v>19</v>
      </c>
      <c r="E11" s="5">
        <v>0</v>
      </c>
      <c r="F11" s="16">
        <v>9</v>
      </c>
      <c r="G11" s="5">
        <f t="shared" si="0"/>
        <v>543</v>
      </c>
    </row>
    <row r="12" spans="1:7">
      <c r="A12" s="1">
        <v>3</v>
      </c>
      <c r="B12" s="3" t="s">
        <v>20</v>
      </c>
      <c r="C12" s="47">
        <v>45906</v>
      </c>
      <c r="D12" s="1" t="s">
        <v>19</v>
      </c>
      <c r="E12" s="5">
        <v>0</v>
      </c>
      <c r="F12" s="16">
        <v>4</v>
      </c>
      <c r="G12" s="5">
        <f t="shared" si="0"/>
        <v>539</v>
      </c>
    </row>
    <row r="13" spans="1:7">
      <c r="A13" s="1">
        <v>3</v>
      </c>
      <c r="B13" s="3" t="s">
        <v>20</v>
      </c>
      <c r="C13" s="47">
        <v>45906</v>
      </c>
      <c r="D13" s="1" t="s">
        <v>34</v>
      </c>
      <c r="E13" s="5">
        <v>3000</v>
      </c>
      <c r="F13" s="16">
        <v>0</v>
      </c>
      <c r="G13" s="5">
        <f t="shared" si="0"/>
        <v>3539</v>
      </c>
    </row>
    <row r="14" spans="1:7">
      <c r="A14" s="1">
        <v>3</v>
      </c>
      <c r="B14" s="3" t="s">
        <v>20</v>
      </c>
      <c r="C14" s="47">
        <v>45909</v>
      </c>
      <c r="D14" s="1" t="s">
        <v>39</v>
      </c>
      <c r="E14" s="5">
        <v>0</v>
      </c>
      <c r="F14" s="16">
        <v>3534</v>
      </c>
      <c r="G14" s="5">
        <f t="shared" si="0"/>
        <v>5</v>
      </c>
    </row>
    <row r="15" spans="1:7">
      <c r="A15" s="16">
        <v>3</v>
      </c>
      <c r="B15" s="15" t="s">
        <v>20</v>
      </c>
      <c r="C15" s="47">
        <v>45911</v>
      </c>
      <c r="D15" s="16" t="s">
        <v>19</v>
      </c>
      <c r="E15" s="17">
        <v>0</v>
      </c>
      <c r="F15" s="16">
        <v>5</v>
      </c>
      <c r="G15" s="5">
        <f t="shared" si="0"/>
        <v>0</v>
      </c>
    </row>
    <row r="16" spans="1:7">
      <c r="A16" s="16">
        <v>3</v>
      </c>
      <c r="B16" s="15" t="s">
        <v>20</v>
      </c>
      <c r="C16" s="47">
        <v>45947</v>
      </c>
      <c r="D16" s="16" t="s">
        <v>43</v>
      </c>
      <c r="E16" s="17">
        <v>4008</v>
      </c>
      <c r="F16" s="17">
        <v>0</v>
      </c>
      <c r="G16" s="5">
        <f t="shared" si="0"/>
        <v>4008</v>
      </c>
    </row>
    <row r="17" spans="1:7">
      <c r="A17" s="16">
        <v>3</v>
      </c>
      <c r="B17" s="15" t="s">
        <v>20</v>
      </c>
      <c r="C17" s="47">
        <v>45952</v>
      </c>
      <c r="D17" s="16" t="s">
        <v>19</v>
      </c>
      <c r="E17" s="17">
        <v>0</v>
      </c>
      <c r="F17" s="16">
        <v>30</v>
      </c>
      <c r="G17" s="5">
        <f t="shared" si="0"/>
        <v>3978</v>
      </c>
    </row>
    <row r="18" spans="1:7">
      <c r="A18" s="16">
        <v>3</v>
      </c>
      <c r="B18" s="15" t="s">
        <v>20</v>
      </c>
      <c r="C18" s="47">
        <v>45980</v>
      </c>
      <c r="D18" s="16" t="s">
        <v>48</v>
      </c>
      <c r="E18" s="17">
        <v>4000</v>
      </c>
      <c r="F18" s="16">
        <v>0</v>
      </c>
      <c r="G18" s="5">
        <f t="shared" si="0"/>
        <v>7978</v>
      </c>
    </row>
    <row r="19" spans="1:7">
      <c r="A19" s="16">
        <v>3</v>
      </c>
      <c r="B19" s="15" t="s">
        <v>20</v>
      </c>
      <c r="C19" s="47">
        <v>45983</v>
      </c>
      <c r="D19" s="16" t="s">
        <v>26</v>
      </c>
      <c r="E19" s="17">
        <v>0</v>
      </c>
      <c r="F19" s="16">
        <v>4010</v>
      </c>
      <c r="G19" s="5">
        <f t="shared" si="0"/>
        <v>3968</v>
      </c>
    </row>
    <row r="20" spans="1:7">
      <c r="A20" s="16">
        <v>3</v>
      </c>
      <c r="B20" s="15" t="s">
        <v>20</v>
      </c>
      <c r="C20" s="47">
        <v>45995</v>
      </c>
      <c r="D20" s="16" t="s">
        <v>19</v>
      </c>
      <c r="E20" s="17"/>
      <c r="F20" s="16">
        <v>6</v>
      </c>
      <c r="G20" s="5">
        <f t="shared" si="0"/>
        <v>3962</v>
      </c>
    </row>
    <row r="21" spans="1:7">
      <c r="A21" s="16">
        <v>3</v>
      </c>
      <c r="B21" s="15" t="s">
        <v>20</v>
      </c>
      <c r="C21" s="47">
        <v>45997</v>
      </c>
      <c r="D21" s="16" t="s">
        <v>19</v>
      </c>
      <c r="E21" s="17"/>
      <c r="F21" s="16">
        <v>1</v>
      </c>
      <c r="G21" s="5">
        <f t="shared" si="0"/>
        <v>3961</v>
      </c>
    </row>
    <row r="22" spans="1:7">
      <c r="A22" s="16">
        <v>3</v>
      </c>
      <c r="B22" s="15" t="s">
        <v>20</v>
      </c>
      <c r="C22" s="47">
        <v>46001</v>
      </c>
      <c r="D22" s="16" t="s">
        <v>19</v>
      </c>
      <c r="E22" s="17"/>
      <c r="F22" s="16">
        <v>11</v>
      </c>
      <c r="G22" s="5">
        <f t="shared" si="0"/>
        <v>3950</v>
      </c>
    </row>
    <row r="23" spans="1:7">
      <c r="A23" s="16">
        <v>3</v>
      </c>
      <c r="B23" s="15" t="s">
        <v>20</v>
      </c>
      <c r="C23" s="48">
        <v>46003</v>
      </c>
      <c r="D23" s="16" t="s">
        <v>68</v>
      </c>
      <c r="E23" s="17"/>
      <c r="F23" s="16">
        <v>1813</v>
      </c>
      <c r="G23" s="5">
        <f t="shared" si="0"/>
        <v>2137</v>
      </c>
    </row>
    <row r="24" spans="1:7">
      <c r="A24" s="16">
        <v>3</v>
      </c>
      <c r="B24" s="15" t="s">
        <v>20</v>
      </c>
      <c r="C24" s="47">
        <v>46009</v>
      </c>
      <c r="D24" s="16" t="s">
        <v>54</v>
      </c>
      <c r="E24" s="17">
        <v>3000</v>
      </c>
      <c r="F24" s="16">
        <v>0</v>
      </c>
      <c r="G24" s="5">
        <f t="shared" si="0"/>
        <v>5137</v>
      </c>
    </row>
    <row r="25" spans="1:7">
      <c r="A25" s="16">
        <v>3</v>
      </c>
      <c r="B25" s="15" t="s">
        <v>20</v>
      </c>
      <c r="C25" s="47">
        <v>46027</v>
      </c>
      <c r="D25" s="16" t="s">
        <v>19</v>
      </c>
      <c r="E25" s="17"/>
      <c r="F25" s="16">
        <v>2</v>
      </c>
      <c r="G25" s="5">
        <f t="shared" si="0"/>
        <v>5135</v>
      </c>
    </row>
    <row r="26" spans="1:7">
      <c r="A26" s="16">
        <v>3</v>
      </c>
      <c r="B26" s="15" t="s">
        <v>20</v>
      </c>
      <c r="C26" s="47">
        <v>46032</v>
      </c>
      <c r="D26" s="16" t="s">
        <v>19</v>
      </c>
      <c r="E26" s="17"/>
      <c r="F26" s="16">
        <v>3</v>
      </c>
      <c r="G26" s="5">
        <f t="shared" si="0"/>
        <v>5132</v>
      </c>
    </row>
    <row r="27" spans="1:7">
      <c r="A27" s="16">
        <v>3</v>
      </c>
      <c r="B27" s="15" t="s">
        <v>20</v>
      </c>
      <c r="C27" s="47">
        <v>46037</v>
      </c>
      <c r="D27" s="16" t="s">
        <v>19</v>
      </c>
      <c r="E27" s="17"/>
      <c r="F27" s="16">
        <v>5</v>
      </c>
      <c r="G27" s="5">
        <f t="shared" si="0"/>
        <v>5127</v>
      </c>
    </row>
    <row r="28" spans="1:7">
      <c r="A28" s="16">
        <v>3</v>
      </c>
      <c r="B28" s="15" t="s">
        <v>20</v>
      </c>
      <c r="C28" s="47">
        <v>46042</v>
      </c>
      <c r="D28" s="16" t="s">
        <v>72</v>
      </c>
      <c r="E28" s="17">
        <v>2000</v>
      </c>
      <c r="F28" s="16">
        <v>0</v>
      </c>
      <c r="G28" s="5">
        <f t="shared" si="0"/>
        <v>7127</v>
      </c>
    </row>
    <row r="29" spans="1:7">
      <c r="A29" s="16">
        <v>3</v>
      </c>
      <c r="B29" s="15" t="s">
        <v>20</v>
      </c>
      <c r="C29" s="47">
        <v>46046</v>
      </c>
      <c r="D29" s="16" t="s">
        <v>68</v>
      </c>
      <c r="E29" s="17"/>
      <c r="F29" s="16">
        <v>662</v>
      </c>
      <c r="G29" s="23">
        <f t="shared" si="0"/>
        <v>6465</v>
      </c>
    </row>
    <row r="30" spans="1:7">
      <c r="A30" s="18"/>
      <c r="B30" s="19"/>
      <c r="C30" s="20"/>
      <c r="D30" s="18"/>
      <c r="E30" s="21"/>
      <c r="F30" s="18"/>
      <c r="G30" s="21"/>
    </row>
  </sheetData>
  <pageMargins left="0.7" right="0.7" top="0.75" bottom="0.75" header="0.3" footer="0.3"/>
  <pageSetup scale="6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11BBC-09E3-4E02-92A4-F50EDFF4C4A2}">
  <sheetPr>
    <pageSetUpPr fitToPage="1"/>
  </sheetPr>
  <dimension ref="A2:G3"/>
  <sheetViews>
    <sheetView showGridLines="0" topLeftCell="C1" zoomScale="85" zoomScaleNormal="85" workbookViewId="0">
      <selection activeCell="D12" sqref="D12"/>
    </sheetView>
  </sheetViews>
  <sheetFormatPr baseColWidth="10" defaultColWidth="10.6640625" defaultRowHeight="14.4"/>
  <cols>
    <col min="1" max="1" width="5.109375" bestFit="1" customWidth="1"/>
    <col min="2" max="2" width="39.6640625" customWidth="1"/>
    <col min="3" max="3" width="17.6640625" customWidth="1"/>
    <col min="4" max="4" width="45.33203125" customWidth="1"/>
  </cols>
  <sheetData>
    <row r="2" spans="1:7">
      <c r="A2" s="2" t="s">
        <v>1</v>
      </c>
      <c r="B2" s="4" t="s">
        <v>0</v>
      </c>
      <c r="C2" s="4" t="s">
        <v>2</v>
      </c>
      <c r="D2" s="4" t="s">
        <v>6</v>
      </c>
      <c r="E2" s="4" t="s">
        <v>3</v>
      </c>
      <c r="F2" s="4" t="s">
        <v>4</v>
      </c>
      <c r="G2" s="4" t="s">
        <v>5</v>
      </c>
    </row>
    <row r="3" spans="1:7">
      <c r="A3" s="1">
        <v>4</v>
      </c>
      <c r="B3" s="3" t="s">
        <v>27</v>
      </c>
      <c r="C3" s="6">
        <v>45834</v>
      </c>
      <c r="D3" s="49" t="s">
        <v>25</v>
      </c>
      <c r="E3" s="5">
        <v>3</v>
      </c>
      <c r="F3" s="5">
        <v>0</v>
      </c>
      <c r="G3" s="7">
        <f>E3-F3</f>
        <v>3</v>
      </c>
    </row>
  </sheetData>
  <pageMargins left="0.7" right="0.7" top="0.75" bottom="0.75" header="0.3" footer="0.3"/>
  <pageSetup scale="6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2FB5B-B996-4945-B85C-35022A0E25F1}">
  <sheetPr>
    <pageSetUpPr fitToPage="1"/>
  </sheetPr>
  <dimension ref="A2:H17"/>
  <sheetViews>
    <sheetView showGridLines="0" topLeftCell="C7" zoomScale="85" zoomScaleNormal="85" workbookViewId="0">
      <selection activeCell="D22" sqref="D22"/>
    </sheetView>
  </sheetViews>
  <sheetFormatPr baseColWidth="10" defaultColWidth="10.6640625" defaultRowHeight="14.4"/>
  <cols>
    <col min="1" max="1" width="5.109375" bestFit="1" customWidth="1"/>
    <col min="2" max="2" width="39.6640625" customWidth="1"/>
    <col min="3" max="3" width="17.6640625" customWidth="1"/>
    <col min="4" max="4" width="45.33203125" customWidth="1"/>
  </cols>
  <sheetData>
    <row r="2" spans="1:8">
      <c r="A2" s="2" t="s">
        <v>1</v>
      </c>
      <c r="B2" s="4" t="s">
        <v>0</v>
      </c>
      <c r="C2" s="4" t="s">
        <v>2</v>
      </c>
      <c r="D2" s="4" t="s">
        <v>6</v>
      </c>
      <c r="E2" s="4" t="s">
        <v>3</v>
      </c>
      <c r="F2" s="4" t="s">
        <v>4</v>
      </c>
      <c r="G2" s="4" t="s">
        <v>5</v>
      </c>
    </row>
    <row r="3" spans="1:8" s="28" customFormat="1">
      <c r="A3" s="29">
        <v>5</v>
      </c>
      <c r="B3" s="30" t="s">
        <v>28</v>
      </c>
      <c r="C3" s="47">
        <v>45869</v>
      </c>
      <c r="D3" s="29" t="s">
        <v>29</v>
      </c>
      <c r="E3" s="27">
        <v>8000</v>
      </c>
      <c r="F3" s="27">
        <v>0</v>
      </c>
      <c r="G3" s="27">
        <f>E3-F3</f>
        <v>8000</v>
      </c>
    </row>
    <row r="4" spans="1:8" s="28" customFormat="1">
      <c r="A4" s="29">
        <v>5</v>
      </c>
      <c r="B4" s="30" t="s">
        <v>28</v>
      </c>
      <c r="C4" s="47">
        <v>45891</v>
      </c>
      <c r="D4" s="29" t="s">
        <v>38</v>
      </c>
      <c r="E4" s="27">
        <v>0</v>
      </c>
      <c r="F4" s="27">
        <v>357</v>
      </c>
      <c r="G4" s="27">
        <f t="shared" ref="G4:G14" si="0">E4+G3-F4</f>
        <v>7643</v>
      </c>
    </row>
    <row r="5" spans="1:8" s="28" customFormat="1">
      <c r="A5" s="29">
        <v>5</v>
      </c>
      <c r="B5" s="30" t="s">
        <v>28</v>
      </c>
      <c r="C5" s="47">
        <v>45892</v>
      </c>
      <c r="D5" s="29" t="s">
        <v>38</v>
      </c>
      <c r="E5" s="27">
        <v>0</v>
      </c>
      <c r="F5" s="27">
        <v>814</v>
      </c>
      <c r="G5" s="27">
        <f t="shared" si="0"/>
        <v>6829</v>
      </c>
    </row>
    <row r="6" spans="1:8" s="28" customFormat="1">
      <c r="A6" s="29">
        <v>5</v>
      </c>
      <c r="B6" s="30" t="s">
        <v>28</v>
      </c>
      <c r="C6" s="47">
        <v>45894</v>
      </c>
      <c r="D6" s="29" t="s">
        <v>19</v>
      </c>
      <c r="E6" s="27">
        <v>0</v>
      </c>
      <c r="F6" s="27">
        <v>1</v>
      </c>
      <c r="G6" s="27">
        <f t="shared" si="0"/>
        <v>6828</v>
      </c>
    </row>
    <row r="7" spans="1:8" s="28" customFormat="1">
      <c r="A7" s="29">
        <v>5</v>
      </c>
      <c r="B7" s="30" t="s">
        <v>28</v>
      </c>
      <c r="C7" s="47">
        <v>45895</v>
      </c>
      <c r="D7" s="29" t="s">
        <v>19</v>
      </c>
      <c r="E7" s="27">
        <v>0</v>
      </c>
      <c r="F7" s="27">
        <v>3</v>
      </c>
      <c r="G7" s="27">
        <f t="shared" si="0"/>
        <v>6825</v>
      </c>
    </row>
    <row r="8" spans="1:8" s="28" customFormat="1">
      <c r="A8" s="29">
        <v>5</v>
      </c>
      <c r="B8" s="30" t="s">
        <v>28</v>
      </c>
      <c r="C8" s="47">
        <v>45897</v>
      </c>
      <c r="D8" s="29" t="s">
        <v>19</v>
      </c>
      <c r="E8" s="27">
        <v>0</v>
      </c>
      <c r="F8" s="27">
        <v>7</v>
      </c>
      <c r="G8" s="27">
        <f t="shared" si="0"/>
        <v>6818</v>
      </c>
    </row>
    <row r="9" spans="1:8" s="28" customFormat="1">
      <c r="A9" s="29">
        <v>5</v>
      </c>
      <c r="B9" s="30" t="s">
        <v>28</v>
      </c>
      <c r="C9" s="47">
        <v>45902</v>
      </c>
      <c r="D9" s="29" t="s">
        <v>38</v>
      </c>
      <c r="E9" s="27">
        <v>0</v>
      </c>
      <c r="F9" s="27">
        <v>1847</v>
      </c>
      <c r="G9" s="27">
        <f t="shared" si="0"/>
        <v>4971</v>
      </c>
    </row>
    <row r="10" spans="1:8" s="28" customFormat="1">
      <c r="A10" s="29">
        <v>5</v>
      </c>
      <c r="B10" s="30" t="s">
        <v>28</v>
      </c>
      <c r="C10" s="47">
        <v>45917</v>
      </c>
      <c r="D10" s="29" t="s">
        <v>19</v>
      </c>
      <c r="E10" s="27">
        <v>0</v>
      </c>
      <c r="F10" s="27">
        <v>2</v>
      </c>
      <c r="G10" s="27">
        <f t="shared" si="0"/>
        <v>4969</v>
      </c>
    </row>
    <row r="11" spans="1:8" s="28" customFormat="1">
      <c r="A11" s="29">
        <v>5</v>
      </c>
      <c r="B11" s="30" t="s">
        <v>28</v>
      </c>
      <c r="C11" s="47">
        <v>45918</v>
      </c>
      <c r="D11" s="29" t="s">
        <v>19</v>
      </c>
      <c r="E11" s="27">
        <v>0</v>
      </c>
      <c r="F11" s="27">
        <v>16</v>
      </c>
      <c r="G11" s="27">
        <f t="shared" si="0"/>
        <v>4953</v>
      </c>
    </row>
    <row r="12" spans="1:8" s="28" customFormat="1">
      <c r="A12" s="29">
        <v>5</v>
      </c>
      <c r="B12" s="30" t="s">
        <v>28</v>
      </c>
      <c r="C12" s="47">
        <v>45925</v>
      </c>
      <c r="D12" s="29" t="s">
        <v>19</v>
      </c>
      <c r="E12" s="27">
        <v>0</v>
      </c>
      <c r="F12" s="27">
        <v>12</v>
      </c>
      <c r="G12" s="27">
        <f t="shared" si="0"/>
        <v>4941</v>
      </c>
    </row>
    <row r="13" spans="1:8" s="28" customFormat="1">
      <c r="A13" s="29">
        <v>5</v>
      </c>
      <c r="B13" s="30" t="s">
        <v>28</v>
      </c>
      <c r="C13" s="47">
        <v>45972</v>
      </c>
      <c r="D13" s="29" t="s">
        <v>19</v>
      </c>
      <c r="E13" s="27">
        <v>0</v>
      </c>
      <c r="F13" s="27">
        <v>10</v>
      </c>
      <c r="G13" s="27">
        <f t="shared" si="0"/>
        <v>4931</v>
      </c>
    </row>
    <row r="14" spans="1:8" s="28" customFormat="1">
      <c r="A14" s="29">
        <v>5</v>
      </c>
      <c r="B14" s="30" t="s">
        <v>28</v>
      </c>
      <c r="C14" s="47">
        <v>46024</v>
      </c>
      <c r="D14" s="29" t="s">
        <v>65</v>
      </c>
      <c r="E14" s="27">
        <v>0</v>
      </c>
      <c r="F14" s="27">
        <v>24</v>
      </c>
      <c r="G14" s="24">
        <f t="shared" si="0"/>
        <v>4907</v>
      </c>
    </row>
    <row r="15" spans="1:8" s="28" customFormat="1">
      <c r="H15" s="31"/>
    </row>
    <row r="16" spans="1:8" s="28" customFormat="1"/>
    <row r="17" s="28" customFormat="1"/>
  </sheetData>
  <pageMargins left="0.7" right="0.7" top="0.75" bottom="0.75" header="0.3" footer="0.3"/>
  <pageSetup scale="6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CE7F1-64BD-43A2-B717-5A30C61DD7C9}">
  <sheetPr>
    <pageSetUpPr fitToPage="1"/>
  </sheetPr>
  <dimension ref="A3:G10"/>
  <sheetViews>
    <sheetView showGridLines="0" topLeftCell="C1" zoomScale="85" zoomScaleNormal="85" workbookViewId="0">
      <selection activeCell="G35" sqref="G35"/>
    </sheetView>
  </sheetViews>
  <sheetFormatPr baseColWidth="10" defaultColWidth="10.6640625" defaultRowHeight="14.4"/>
  <cols>
    <col min="1" max="1" width="5.109375" bestFit="1" customWidth="1"/>
    <col min="2" max="2" width="39.6640625" customWidth="1"/>
    <col min="3" max="3" width="17.6640625" customWidth="1"/>
    <col min="4" max="4" width="45.33203125" customWidth="1"/>
  </cols>
  <sheetData>
    <row r="3" spans="1:7">
      <c r="A3" s="40" t="s">
        <v>1</v>
      </c>
      <c r="B3" s="39" t="s">
        <v>0</v>
      </c>
      <c r="C3" s="39" t="s">
        <v>2</v>
      </c>
      <c r="D3" s="39" t="s">
        <v>6</v>
      </c>
      <c r="E3" s="39" t="s">
        <v>3</v>
      </c>
      <c r="F3" s="39" t="s">
        <v>4</v>
      </c>
      <c r="G3" s="39" t="s">
        <v>5</v>
      </c>
    </row>
    <row r="4" spans="1:7" s="28" customFormat="1">
      <c r="A4" s="29">
        <v>6</v>
      </c>
      <c r="B4" s="30" t="s">
        <v>40</v>
      </c>
      <c r="C4" s="47">
        <v>45947</v>
      </c>
      <c r="D4" s="49" t="s">
        <v>41</v>
      </c>
      <c r="E4" s="27">
        <v>6005</v>
      </c>
      <c r="F4" s="27">
        <v>0</v>
      </c>
      <c r="G4" s="27">
        <f>+E4-F4</f>
        <v>6005</v>
      </c>
    </row>
    <row r="5" spans="1:7" s="28" customFormat="1">
      <c r="A5" s="29">
        <v>6</v>
      </c>
      <c r="B5" s="30" t="s">
        <v>40</v>
      </c>
      <c r="C5" s="47">
        <v>45954</v>
      </c>
      <c r="D5" s="49" t="s">
        <v>44</v>
      </c>
      <c r="E5" s="27">
        <v>0</v>
      </c>
      <c r="F5" s="27">
        <v>6003</v>
      </c>
      <c r="G5" s="27">
        <f>+E5+G4-F5</f>
        <v>2</v>
      </c>
    </row>
    <row r="6" spans="1:7" s="28" customFormat="1">
      <c r="A6" s="29">
        <v>6</v>
      </c>
      <c r="B6" s="30" t="s">
        <v>40</v>
      </c>
      <c r="C6" s="47">
        <v>45972</v>
      </c>
      <c r="D6" s="49" t="s">
        <v>19</v>
      </c>
      <c r="E6" s="27">
        <v>0</v>
      </c>
      <c r="F6" s="27">
        <v>1</v>
      </c>
      <c r="G6" s="27">
        <f t="shared" ref="G6:G10" si="0">+E6+G5-F6</f>
        <v>1</v>
      </c>
    </row>
    <row r="7" spans="1:7" s="28" customFormat="1">
      <c r="A7" s="29">
        <v>6</v>
      </c>
      <c r="B7" s="30" t="s">
        <v>40</v>
      </c>
      <c r="C7" s="47">
        <v>45987</v>
      </c>
      <c r="D7" s="49" t="s">
        <v>19</v>
      </c>
      <c r="E7" s="27">
        <v>0</v>
      </c>
      <c r="F7" s="27">
        <v>1</v>
      </c>
      <c r="G7" s="27">
        <f t="shared" si="0"/>
        <v>0</v>
      </c>
    </row>
    <row r="8" spans="1:7" s="28" customFormat="1">
      <c r="A8" s="29">
        <v>6</v>
      </c>
      <c r="B8" s="30" t="s">
        <v>40</v>
      </c>
      <c r="C8" s="47">
        <v>46009</v>
      </c>
      <c r="D8" s="49" t="s">
        <v>54</v>
      </c>
      <c r="E8" s="27">
        <v>2011</v>
      </c>
      <c r="F8" s="29">
        <v>0</v>
      </c>
      <c r="G8" s="27">
        <f t="shared" si="0"/>
        <v>2011</v>
      </c>
    </row>
    <row r="9" spans="1:7" s="28" customFormat="1">
      <c r="A9" s="29">
        <v>6</v>
      </c>
      <c r="B9" s="30" t="s">
        <v>40</v>
      </c>
      <c r="C9" s="47">
        <v>46029</v>
      </c>
      <c r="D9" s="49" t="s">
        <v>19</v>
      </c>
      <c r="E9" s="27">
        <v>0</v>
      </c>
      <c r="F9" s="27">
        <v>2</v>
      </c>
      <c r="G9" s="27">
        <f>+E9+G8-F9</f>
        <v>2009</v>
      </c>
    </row>
    <row r="10" spans="1:7" s="28" customFormat="1">
      <c r="A10" s="29">
        <v>6</v>
      </c>
      <c r="B10" s="30" t="s">
        <v>40</v>
      </c>
      <c r="C10" s="47">
        <v>45954</v>
      </c>
      <c r="D10" s="49" t="s">
        <v>24</v>
      </c>
      <c r="E10" s="27">
        <v>0</v>
      </c>
      <c r="F10" s="27">
        <v>2000</v>
      </c>
      <c r="G10" s="24">
        <f t="shared" si="0"/>
        <v>9</v>
      </c>
    </row>
  </sheetData>
  <pageMargins left="0.7" right="0.7" top="0.75" bottom="0.75" header="0.3" footer="0.3"/>
  <pageSetup scale="62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DFB41-45CC-43EB-9043-D68553E3A76C}">
  <sheetPr>
    <pageSetUpPr fitToPage="1"/>
  </sheetPr>
  <dimension ref="A3:H7"/>
  <sheetViews>
    <sheetView showGridLines="0" topLeftCell="C1" zoomScale="85" zoomScaleNormal="85" workbookViewId="0">
      <selection activeCell="F14" sqref="F14"/>
    </sheetView>
  </sheetViews>
  <sheetFormatPr baseColWidth="10" defaultColWidth="10.6640625" defaultRowHeight="14.4"/>
  <cols>
    <col min="1" max="1" width="5.109375" bestFit="1" customWidth="1"/>
    <col min="2" max="2" width="39.6640625" customWidth="1"/>
    <col min="3" max="3" width="17.6640625" customWidth="1"/>
    <col min="4" max="4" width="45.33203125" customWidth="1"/>
  </cols>
  <sheetData>
    <row r="3" spans="1:8">
      <c r="A3" s="2" t="s">
        <v>1</v>
      </c>
      <c r="B3" s="4" t="s">
        <v>0</v>
      </c>
      <c r="C3" s="4" t="s">
        <v>2</v>
      </c>
      <c r="D3" s="4" t="s">
        <v>6</v>
      </c>
      <c r="E3" s="4" t="s">
        <v>3</v>
      </c>
      <c r="F3" s="4" t="s">
        <v>4</v>
      </c>
      <c r="G3" s="4" t="s">
        <v>5</v>
      </c>
    </row>
    <row r="4" spans="1:8" s="28" customFormat="1">
      <c r="A4" s="29">
        <v>7</v>
      </c>
      <c r="B4" s="30" t="s">
        <v>49</v>
      </c>
      <c r="C4" s="47">
        <v>45980</v>
      </c>
      <c r="D4" s="29" t="s">
        <v>48</v>
      </c>
      <c r="E4" s="27">
        <v>4000</v>
      </c>
      <c r="F4" s="27">
        <v>0</v>
      </c>
      <c r="G4" s="42">
        <f>E4</f>
        <v>4000</v>
      </c>
    </row>
    <row r="5" spans="1:8" s="28" customFormat="1">
      <c r="A5" s="29">
        <v>7</v>
      </c>
      <c r="B5" s="30" t="s">
        <v>49</v>
      </c>
      <c r="C5" s="47">
        <v>46377</v>
      </c>
      <c r="D5" s="29" t="s">
        <v>24</v>
      </c>
      <c r="E5" s="27">
        <v>0</v>
      </c>
      <c r="F5" s="27">
        <v>2217</v>
      </c>
      <c r="G5" s="24">
        <f>G4+E5-F5</f>
        <v>1783</v>
      </c>
    </row>
    <row r="6" spans="1:8" s="28" customFormat="1">
      <c r="H6" s="31"/>
    </row>
    <row r="7" spans="1:8" s="28" customFormat="1"/>
  </sheetData>
  <pageMargins left="0.7" right="0.7" top="0.75" bottom="0.75" header="0.3" footer="0.3"/>
  <pageSetup scale="62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755D2-0E36-4706-A6DF-7C0A91E5BCDF}">
  <sheetPr>
    <pageSetUpPr fitToPage="1"/>
  </sheetPr>
  <dimension ref="A3:G7"/>
  <sheetViews>
    <sheetView showGridLines="0" topLeftCell="C1" zoomScale="85" zoomScaleNormal="85" workbookViewId="0">
      <selection activeCell="D7" sqref="D7"/>
    </sheetView>
  </sheetViews>
  <sheetFormatPr baseColWidth="10" defaultColWidth="10.6640625" defaultRowHeight="14.4"/>
  <cols>
    <col min="1" max="1" width="5.109375" bestFit="1" customWidth="1"/>
    <col min="2" max="2" width="39.6640625" customWidth="1"/>
    <col min="3" max="3" width="17.6640625" customWidth="1"/>
    <col min="4" max="4" width="45.33203125" customWidth="1"/>
  </cols>
  <sheetData>
    <row r="3" spans="1:7">
      <c r="A3" s="2" t="s">
        <v>1</v>
      </c>
      <c r="B3" s="4" t="s">
        <v>0</v>
      </c>
      <c r="C3" s="4" t="s">
        <v>2</v>
      </c>
      <c r="D3" s="4" t="s">
        <v>6</v>
      </c>
      <c r="E3" s="4" t="s">
        <v>3</v>
      </c>
      <c r="F3" s="4" t="s">
        <v>4</v>
      </c>
      <c r="G3" s="4" t="s">
        <v>5</v>
      </c>
    </row>
    <row r="4" spans="1:7">
      <c r="A4" s="1">
        <v>8</v>
      </c>
      <c r="B4" s="3" t="s">
        <v>63</v>
      </c>
      <c r="C4" s="47">
        <v>45996</v>
      </c>
      <c r="D4" s="49" t="s">
        <v>69</v>
      </c>
      <c r="E4" s="5">
        <v>1200</v>
      </c>
      <c r="F4" s="5">
        <v>0</v>
      </c>
      <c r="G4" s="22">
        <f>+E4-F4</f>
        <v>1200</v>
      </c>
    </row>
    <row r="5" spans="1:7">
      <c r="A5" s="1">
        <v>8</v>
      </c>
      <c r="B5" s="3" t="s">
        <v>63</v>
      </c>
      <c r="C5" s="47">
        <v>46031</v>
      </c>
      <c r="D5" s="49" t="s">
        <v>64</v>
      </c>
      <c r="E5" s="5">
        <v>0</v>
      </c>
      <c r="F5" s="5">
        <v>1203</v>
      </c>
      <c r="G5" s="22">
        <f>+G4+E5-F5</f>
        <v>-3</v>
      </c>
    </row>
    <row r="6" spans="1:7">
      <c r="A6" s="1">
        <v>8</v>
      </c>
      <c r="B6" s="3" t="s">
        <v>63</v>
      </c>
      <c r="C6" s="47">
        <v>46042</v>
      </c>
      <c r="D6" s="49" t="s">
        <v>73</v>
      </c>
      <c r="E6" s="5">
        <v>100</v>
      </c>
      <c r="F6" s="5">
        <v>0</v>
      </c>
      <c r="G6" s="22">
        <f t="shared" ref="G6:G7" si="0">+G5+E6-F6</f>
        <v>97</v>
      </c>
    </row>
    <row r="7" spans="1:7">
      <c r="A7" s="1">
        <v>8</v>
      </c>
      <c r="B7" s="3" t="s">
        <v>63</v>
      </c>
      <c r="C7" s="47">
        <v>46046</v>
      </c>
      <c r="D7" s="49" t="s">
        <v>64</v>
      </c>
      <c r="E7" s="5">
        <v>0</v>
      </c>
      <c r="F7" s="5">
        <v>80</v>
      </c>
      <c r="G7" s="7">
        <f t="shared" si="0"/>
        <v>17</v>
      </c>
    </row>
  </sheetData>
  <pageMargins left="0.7" right="0.7" top="0.75" bottom="0.75" header="0.3" footer="0.3"/>
  <pageSetup scale="62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E75C8-A370-4959-A272-72E073AB9EB0}">
  <sheetPr>
    <pageSetUpPr fitToPage="1"/>
  </sheetPr>
  <dimension ref="A3:G5"/>
  <sheetViews>
    <sheetView showGridLines="0" topLeftCell="C1" zoomScale="85" zoomScaleNormal="85" workbookViewId="0">
      <selection activeCell="D5" sqref="D5"/>
    </sheetView>
  </sheetViews>
  <sheetFormatPr baseColWidth="10" defaultColWidth="10.6640625" defaultRowHeight="14.4"/>
  <cols>
    <col min="1" max="1" width="5.109375" bestFit="1" customWidth="1"/>
    <col min="2" max="2" width="39.6640625" customWidth="1"/>
    <col min="3" max="3" width="17.6640625" customWidth="1"/>
    <col min="4" max="4" width="45.33203125" customWidth="1"/>
  </cols>
  <sheetData>
    <row r="3" spans="1:7">
      <c r="A3" s="2" t="s">
        <v>1</v>
      </c>
      <c r="B3" s="4" t="s">
        <v>0</v>
      </c>
      <c r="C3" s="4" t="s">
        <v>2</v>
      </c>
      <c r="D3" s="4" t="s">
        <v>6</v>
      </c>
      <c r="E3" s="4" t="s">
        <v>3</v>
      </c>
      <c r="F3" s="4" t="s">
        <v>4</v>
      </c>
      <c r="G3" s="4" t="s">
        <v>5</v>
      </c>
    </row>
    <row r="4" spans="1:7">
      <c r="A4" s="1">
        <v>9</v>
      </c>
      <c r="B4" s="3" t="s">
        <v>75</v>
      </c>
      <c r="C4" s="6">
        <v>45996</v>
      </c>
      <c r="D4" s="1" t="s">
        <v>71</v>
      </c>
      <c r="E4" s="5">
        <v>1200</v>
      </c>
      <c r="F4" s="5">
        <v>0</v>
      </c>
      <c r="G4" s="22">
        <f>+E4-F4</f>
        <v>1200</v>
      </c>
    </row>
    <row r="5" spans="1:7">
      <c r="A5" s="1">
        <v>9</v>
      </c>
      <c r="B5" s="3" t="s">
        <v>75</v>
      </c>
      <c r="C5" s="6">
        <v>46031</v>
      </c>
      <c r="D5" s="1" t="s">
        <v>64</v>
      </c>
      <c r="E5" s="5">
        <v>0</v>
      </c>
      <c r="F5" s="5">
        <v>1200</v>
      </c>
      <c r="G5" s="7">
        <f>+G4+E5-F5</f>
        <v>0</v>
      </c>
    </row>
  </sheetData>
  <pageMargins left="0.7" right="0.7" top="0.75" bottom="0.75" header="0.3" footer="0.3"/>
  <pageSetup scale="62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5464A-DA43-4B36-A5F4-1111F5EE9B6B}">
  <sheetPr>
    <pageSetUpPr fitToPage="1"/>
  </sheetPr>
  <dimension ref="A3:G5"/>
  <sheetViews>
    <sheetView showGridLines="0" topLeftCell="C1" zoomScale="85" zoomScaleNormal="85" workbookViewId="0">
      <selection activeCell="D19" sqref="D19:D20"/>
    </sheetView>
  </sheetViews>
  <sheetFormatPr baseColWidth="10" defaultColWidth="10.6640625" defaultRowHeight="14.4"/>
  <cols>
    <col min="1" max="1" width="5.109375" bestFit="1" customWidth="1"/>
    <col min="2" max="2" width="39.6640625" customWidth="1"/>
    <col min="3" max="3" width="17.6640625" customWidth="1"/>
    <col min="4" max="4" width="45.33203125" customWidth="1"/>
  </cols>
  <sheetData>
    <row r="3" spans="1:7">
      <c r="A3" s="2" t="s">
        <v>1</v>
      </c>
      <c r="B3" s="4" t="s">
        <v>0</v>
      </c>
      <c r="C3" s="4" t="s">
        <v>2</v>
      </c>
      <c r="D3" s="4" t="s">
        <v>6</v>
      </c>
      <c r="E3" s="4" t="s">
        <v>3</v>
      </c>
      <c r="F3" s="4" t="s">
        <v>4</v>
      </c>
      <c r="G3" s="4" t="s">
        <v>5</v>
      </c>
    </row>
    <row r="4" spans="1:7">
      <c r="A4" s="1">
        <v>10</v>
      </c>
      <c r="B4" s="3" t="s">
        <v>74</v>
      </c>
      <c r="C4" s="6">
        <v>46009</v>
      </c>
      <c r="D4" s="49" t="s">
        <v>76</v>
      </c>
      <c r="E4" s="5">
        <v>1800</v>
      </c>
      <c r="F4" s="5">
        <v>0</v>
      </c>
      <c r="G4" s="22">
        <f>+E4-F4</f>
        <v>1800</v>
      </c>
    </row>
    <row r="5" spans="1:7">
      <c r="A5" s="1">
        <v>10</v>
      </c>
      <c r="B5" s="3" t="s">
        <v>74</v>
      </c>
      <c r="C5" s="6">
        <v>46042</v>
      </c>
      <c r="D5" s="49" t="s">
        <v>73</v>
      </c>
      <c r="E5" s="5">
        <v>100</v>
      </c>
      <c r="F5" s="5">
        <v>0</v>
      </c>
      <c r="G5" s="7">
        <f>+E5+G4-F5</f>
        <v>1900</v>
      </c>
    </row>
  </sheetData>
  <pageMargins left="0.7" right="0.7" top="0.75" bottom="0.75" header="0.3" footer="0.3"/>
  <pageSetup scale="62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CB12B-2649-4A85-9F84-1535615E27D2}">
  <sheetPr>
    <pageSetUpPr fitToPage="1"/>
  </sheetPr>
  <dimension ref="A3:G4"/>
  <sheetViews>
    <sheetView showGridLines="0" topLeftCell="C1" zoomScale="85" zoomScaleNormal="85" workbookViewId="0">
      <selection activeCell="D4" sqref="D4"/>
    </sheetView>
  </sheetViews>
  <sheetFormatPr baseColWidth="10" defaultColWidth="10.6640625" defaultRowHeight="14.4"/>
  <cols>
    <col min="1" max="1" width="5.109375" bestFit="1" customWidth="1"/>
    <col min="2" max="2" width="39.6640625" customWidth="1"/>
    <col min="3" max="3" width="17.6640625" customWidth="1"/>
    <col min="4" max="4" width="45.33203125" customWidth="1"/>
  </cols>
  <sheetData>
    <row r="3" spans="1:7">
      <c r="A3" s="2" t="s">
        <v>1</v>
      </c>
      <c r="B3" s="4" t="s">
        <v>0</v>
      </c>
      <c r="C3" s="4" t="s">
        <v>2</v>
      </c>
      <c r="D3" s="4" t="s">
        <v>6</v>
      </c>
      <c r="E3" s="4" t="s">
        <v>3</v>
      </c>
      <c r="F3" s="4" t="s">
        <v>4</v>
      </c>
      <c r="G3" s="4" t="s">
        <v>5</v>
      </c>
    </row>
    <row r="4" spans="1:7">
      <c r="A4" s="1">
        <v>11</v>
      </c>
      <c r="B4" s="3" t="s">
        <v>63</v>
      </c>
      <c r="C4" s="6">
        <v>45996</v>
      </c>
      <c r="D4" s="1" t="s">
        <v>69</v>
      </c>
      <c r="E4" s="5">
        <v>1200</v>
      </c>
      <c r="F4" s="5">
        <v>0</v>
      </c>
      <c r="G4" s="7">
        <f>+E4-F4</f>
        <v>1200</v>
      </c>
    </row>
  </sheetData>
  <pageMargins left="0.7" right="0.7" top="0.75" bottom="0.75" header="0.3" footer="0.3"/>
  <pageSetup scale="6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RESUMEN</vt:lpstr>
      <vt:lpstr>UREA FERTI (50Kg)</vt:lpstr>
      <vt:lpstr>FOSFATO DIAMONICO (50Kg)</vt:lpstr>
      <vt:lpstr>SULFATO DE AMONIO (50Kg) </vt:lpstr>
      <vt:lpstr>ADITIVO MARRON (20Kg)</vt:lpstr>
      <vt:lpstr>NIT. DE AMONIO (50Kg)</vt:lpstr>
      <vt:lpstr>NIT. DE AMONIO (50Kg) POLIPROPI</vt:lpstr>
      <vt:lpstr>CLORURO DE POTASIO(50Kg)</vt:lpstr>
      <vt:lpstr>NITRO S PREMIUM(50Kg)</vt:lpstr>
      <vt:lpstr>SUPER BLUE (50Kg)</vt:lpstr>
      <vt:lpstr>NPK 20-20-20</vt:lpstr>
      <vt:lpstr>PAPA SIERRA (50Kg)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ANYELO ZURITA QUIZA</dc:creator>
  <cp:lastModifiedBy>Controles Criticos Fatiga</cp:lastModifiedBy>
  <cp:lastPrinted>2026-01-08T12:37:39Z</cp:lastPrinted>
  <dcterms:created xsi:type="dcterms:W3CDTF">2021-06-12T15:11:17Z</dcterms:created>
  <dcterms:modified xsi:type="dcterms:W3CDTF">2026-02-09T19:19:12Z</dcterms:modified>
</cp:coreProperties>
</file>